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WBS" sheetId="2" state="visible" r:id="rId4"/>
    <sheet name="Weekly Plan" sheetId="3" state="visible" r:id="rId5"/>
    <sheet name="Risk &amp; Dependenci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<sst xmlns="http://schemas.openxmlformats.org/spreadsheetml/2006/main" count="333" uniqueCount="229">
  <si>
    <r>
      <rPr>
        <b val="true"/>
        <sz val="18"/>
        <color rgb="FF1E2761"/>
        <rFont val="Arial"/>
        <family val="0"/>
        <charset val="1"/>
      </rPr>
      <t xml:space="preserve">Sprint 1 WBS — </t>
    </r>
    <r>
      <rPr>
        <b val="true"/>
        <sz val="18"/>
        <color rgb="FF1E2761"/>
        <rFont val="Noto Sans CJK SC"/>
        <family val="2"/>
      </rPr>
      <t xml:space="preserve">인증 인프라 </t>
    </r>
    <r>
      <rPr>
        <b val="true"/>
        <sz val="18"/>
        <color rgb="FF1E2761"/>
        <rFont val="Arial"/>
        <family val="0"/>
        <charset val="1"/>
      </rPr>
      <t xml:space="preserve">(4</t>
    </r>
    <r>
      <rPr>
        <b val="true"/>
        <sz val="18"/>
        <color rgb="FF1E2761"/>
        <rFont val="Noto Sans CJK SC"/>
        <family val="2"/>
      </rPr>
      <t xml:space="preserve">주</t>
    </r>
    <r>
      <rPr>
        <b val="true"/>
        <sz val="18"/>
        <color rgb="FF1E2761"/>
        <rFont val="Arial"/>
        <family val="0"/>
        <charset val="1"/>
      </rPr>
      <t xml:space="preserve">)</t>
    </r>
  </si>
  <si>
    <r>
      <rPr>
        <i val="true"/>
        <sz val="11"/>
        <color rgb="FF595959"/>
        <rFont val="Noto Sans CJK SC"/>
        <family val="2"/>
      </rPr>
      <t xml:space="preserve">전화번호 </t>
    </r>
    <r>
      <rPr>
        <i val="true"/>
        <sz val="11"/>
        <color rgb="FF595959"/>
        <rFont val="Arial"/>
        <family val="0"/>
        <charset val="1"/>
      </rPr>
      <t xml:space="preserve">+ SMS </t>
    </r>
    <r>
      <rPr>
        <i val="true"/>
        <sz val="11"/>
        <color rgb="FF595959"/>
        <rFont val="Noto Sans CJK SC"/>
        <family val="2"/>
      </rPr>
      <t xml:space="preserve">가입</t>
    </r>
    <r>
      <rPr>
        <i val="true"/>
        <sz val="11"/>
        <color rgb="FF595959"/>
        <rFont val="Arial"/>
        <family val="0"/>
        <charset val="1"/>
      </rPr>
      <t xml:space="preserve">/</t>
    </r>
    <r>
      <rPr>
        <i val="true"/>
        <sz val="11"/>
        <color rgb="FF595959"/>
        <rFont val="Noto Sans CJK SC"/>
        <family val="2"/>
      </rPr>
      <t xml:space="preserve">로그인</t>
    </r>
    <r>
      <rPr>
        <i val="true"/>
        <sz val="11"/>
        <color rgb="FF595959"/>
        <rFont val="Arial"/>
        <family val="0"/>
        <charset val="1"/>
      </rPr>
      <t xml:space="preserve">, </t>
    </r>
    <r>
      <rPr>
        <i val="true"/>
        <sz val="11"/>
        <color rgb="FF595959"/>
        <rFont val="Noto Sans CJK SC"/>
        <family val="2"/>
      </rPr>
      <t xml:space="preserve">연락처 동기화</t>
    </r>
    <r>
      <rPr>
        <i val="true"/>
        <sz val="11"/>
        <color rgb="FF595959"/>
        <rFont val="Arial"/>
        <family val="0"/>
        <charset val="1"/>
      </rPr>
      <t xml:space="preserve">, Users·AuthCodes </t>
    </r>
    <r>
      <rPr>
        <i val="true"/>
        <sz val="11"/>
        <color rgb="FF595959"/>
        <rFont val="Noto Sans CJK SC"/>
        <family val="2"/>
      </rPr>
      <t xml:space="preserve">테이블 신설</t>
    </r>
  </si>
  <si>
    <r>
      <rPr>
        <b val="true"/>
        <sz val="10"/>
        <rFont val="Noto Sans CJK SC"/>
        <family val="2"/>
      </rPr>
      <t xml:space="preserve">공수 산정 — 역할별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</si>
  <si>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역할</t>
  </si>
  <si>
    <t xml:space="preserve">작업 수</t>
  </si>
  <si>
    <r>
      <rPr>
        <b val="true"/>
        <sz val="11"/>
        <color rgb="FF1E2761"/>
        <rFont val="Noto Sans CJK SC"/>
        <family val="2"/>
      </rPr>
      <t xml:space="preserve">공수 </t>
    </r>
    <r>
      <rPr>
        <b val="true"/>
        <sz val="11"/>
        <color rgb="FF1E2761"/>
        <rFont val="Arial"/>
        <family val="0"/>
        <charset val="1"/>
      </rPr>
      <t xml:space="preserve">(MD)</t>
    </r>
  </si>
  <si>
    <r>
      <rPr>
        <b val="true"/>
        <sz val="11"/>
        <color rgb="FF1E2761"/>
        <rFont val="Noto Sans CJK SC"/>
        <family val="2"/>
      </rPr>
      <t xml:space="preserve">주당 가용 </t>
    </r>
    <r>
      <rPr>
        <b val="true"/>
        <sz val="11"/>
        <color rgb="FF1E2761"/>
        <rFont val="Arial"/>
        <family val="0"/>
        <charset val="1"/>
      </rPr>
      <t xml:space="preserve">(MD)</t>
    </r>
  </si>
  <si>
    <t xml:space="preserve">필요 인원</t>
  </si>
  <si>
    <t xml:space="preserve">Backend (BE)</t>
  </si>
  <si>
    <t xml:space="preserve">Mobile App</t>
  </si>
  <si>
    <t xml:space="preserve">DBA / Infra</t>
  </si>
  <si>
    <t xml:space="preserve">QA</t>
  </si>
  <si>
    <t xml:space="preserve">Design</t>
  </si>
  <si>
    <t xml:space="preserve">PM / Spec</t>
  </si>
  <si>
    <t xml:space="preserve">합계</t>
  </si>
  <si>
    <r>
      <rPr>
        <b val="true"/>
        <sz val="10"/>
        <rFont val="Noto Sans CJK SC"/>
        <family val="2"/>
      </rPr>
      <t xml:space="preserve">진행 상태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자동 계산</t>
    </r>
    <r>
      <rPr>
        <b val="true"/>
        <sz val="10"/>
        <rFont val="Arial"/>
        <family val="0"/>
        <charset val="1"/>
      </rPr>
      <t xml:space="preserve">)</t>
    </r>
  </si>
  <si>
    <t xml:space="preserve">Not Started</t>
  </si>
  <si>
    <t xml:space="preserve">In Progress</t>
  </si>
  <si>
    <t xml:space="preserve">Blocked</t>
  </si>
  <si>
    <t xml:space="preserve">Done</t>
  </si>
  <si>
    <t xml:space="preserve">진행률</t>
  </si>
  <si>
    <r>
      <rPr>
        <b val="true"/>
        <sz val="10"/>
        <rFont val="Noto Sans CJK SC"/>
        <family val="2"/>
      </rPr>
      <t xml:space="preserve">핵심 가정 </t>
    </r>
    <r>
      <rPr>
        <b val="true"/>
        <sz val="10"/>
        <rFont val="Arial"/>
        <family val="0"/>
        <charset val="1"/>
      </rPr>
      <t xml:space="preserve">(Assumptions)</t>
    </r>
  </si>
  <si>
    <r>
      <rPr>
        <sz val="10"/>
        <rFont val="Arial"/>
        <family val="0"/>
        <charset val="1"/>
      </rPr>
      <t xml:space="preserve">Sprint </t>
    </r>
    <r>
      <rPr>
        <sz val="10"/>
        <rFont val="Noto Sans CJK SC"/>
        <family val="2"/>
      </rPr>
      <t xml:space="preserve">기간</t>
    </r>
    <r>
      <rPr>
        <sz val="10"/>
        <rFont val="Arial"/>
        <family val="0"/>
        <charset val="1"/>
      </rPr>
      <t xml:space="preserve">: 4</t>
    </r>
    <r>
      <rPr>
        <sz val="10"/>
        <rFont val="Noto Sans CJK SC"/>
        <family val="2"/>
      </rPr>
      <t xml:space="preserve">주 </t>
    </r>
    <r>
      <rPr>
        <sz val="10"/>
        <rFont val="Arial"/>
        <family val="0"/>
        <charset val="1"/>
      </rPr>
      <t xml:space="preserve">(20 </t>
    </r>
    <r>
      <rPr>
        <sz val="10"/>
        <rFont val="Noto Sans CJK SC"/>
        <family val="2"/>
      </rPr>
      <t xml:space="preserve">영업일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</si>
  <si>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 MD (Man-Day) = 1</t>
    </r>
    <r>
      <rPr>
        <sz val="10"/>
        <rFont val="Noto Sans CJK SC"/>
        <family val="2"/>
      </rPr>
      <t xml:space="preserve">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</si>
  <si>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게이트웨이 벤더는 </t>
    </r>
    <r>
      <rPr>
        <sz val="10"/>
        <rFont val="Arial"/>
        <family val="0"/>
        <charset val="1"/>
      </rPr>
      <t xml:space="preserve">Sprint 0(</t>
    </r>
    <r>
      <rPr>
        <sz val="10"/>
        <rFont val="Noto Sans CJK SC"/>
        <family val="2"/>
      </rPr>
      <t xml:space="preserve">준비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단계에서 확정 </t>
    </r>
    <r>
      <rPr>
        <sz val="10"/>
        <rFont val="Arial"/>
        <family val="0"/>
        <charset val="1"/>
      </rPr>
      <t xml:space="preserve">(Blocker)</t>
    </r>
  </si>
  <si>
    <r>
      <rPr>
        <sz val="10"/>
        <rFont val="Arial"/>
        <family val="0"/>
        <charset val="1"/>
      </rPr>
      <t xml:space="preserve">BE</t>
    </r>
    <r>
      <rPr>
        <sz val="10"/>
        <rFont val="Noto Sans CJK SC"/>
        <family val="2"/>
      </rPr>
      <t xml:space="preserve">는 기존 </t>
    </r>
    <r>
      <rPr>
        <sz val="10"/>
        <rFont val="Arial"/>
        <family val="0"/>
        <charset val="1"/>
      </rPr>
      <t xml:space="preserve">mcrs-backend </t>
    </r>
    <r>
      <rPr>
        <sz val="10"/>
        <rFont val="Noto Sans CJK SC"/>
        <family val="2"/>
      </rPr>
      <t xml:space="preserve">코드베이스에 추가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대규모 리팩토링 없음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</si>
  <si>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APP</t>
    </r>
    <r>
      <rPr>
        <sz val="10"/>
        <rFont val="Noto Sans CJK SC"/>
        <family val="2"/>
      </rPr>
      <t xml:space="preserve">은 기존 </t>
    </r>
    <r>
      <rPr>
        <sz val="10"/>
        <rFont val="Arial"/>
        <family val="0"/>
        <charset val="1"/>
      </rPr>
      <t xml:space="preserve">mobile-app-v2 </t>
    </r>
    <r>
      <rPr>
        <sz val="10"/>
        <rFont val="Noto Sans CJK SC"/>
        <family val="2"/>
      </rPr>
      <t xml:space="preserve">코드베이스에 모듈 추가 </t>
    </r>
    <r>
      <rPr>
        <sz val="10"/>
        <rFont val="Arial"/>
        <family val="0"/>
        <charset val="1"/>
      </rPr>
      <t xml:space="preserve">(BLoC </t>
    </r>
    <r>
      <rPr>
        <sz val="10"/>
        <rFont val="Noto Sans CJK SC"/>
        <family val="2"/>
      </rPr>
      <t xml:space="preserve">패턴 유지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</si>
  <si>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공수에는 코드 리뷰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테스트 작성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문서화 포함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통합 </t>
    </r>
    <r>
      <rPr>
        <sz val="10"/>
        <rFont val="Arial"/>
        <family val="0"/>
        <charset val="1"/>
      </rPr>
      <t xml:space="preserve">QA</t>
    </r>
    <r>
      <rPr>
        <sz val="10"/>
        <rFont val="Noto Sans CJK SC"/>
        <family val="2"/>
      </rPr>
      <t xml:space="preserve">는 별도 항목</t>
    </r>
  </si>
  <si>
    <r>
      <rPr>
        <sz val="10"/>
        <rFont val="Noto Sans CJK SC"/>
        <family val="2"/>
      </rPr>
      <t xml:space="preserve">기존 사용자 마이그레이션 정책</t>
    </r>
    <r>
      <rPr>
        <sz val="10"/>
        <rFont val="Arial"/>
        <family val="0"/>
        <charset val="1"/>
      </rPr>
      <t xml:space="preserve">(D-09)</t>
    </r>
    <r>
      <rPr>
        <sz val="10"/>
        <rFont val="Noto Sans CJK SC"/>
        <family val="2"/>
      </rPr>
      <t xml:space="preserve">은 </t>
    </r>
    <r>
      <rPr>
        <sz val="10"/>
        <rFont val="Arial"/>
        <family val="0"/>
        <charset val="1"/>
      </rPr>
      <t xml:space="preserve">Sprint </t>
    </r>
    <r>
      <rPr>
        <sz val="10"/>
        <rFont val="Noto Sans CJK SC"/>
        <family val="2"/>
      </rPr>
      <t xml:space="preserve">시작 전 결정 완료 전제</t>
    </r>
  </si>
  <si>
    <t xml:space="preserve">ID</t>
  </si>
  <si>
    <t xml:space="preserve">Workstream</t>
  </si>
  <si>
    <t xml:space="preserve">작업명</t>
  </si>
  <si>
    <t xml:space="preserve">상세 설명</t>
  </si>
  <si>
    <t xml:space="preserve">Role</t>
  </si>
  <si>
    <t xml:space="preserve">Week</t>
  </si>
  <si>
    <r>
      <rPr>
        <b val="true"/>
        <sz val="11"/>
        <color rgb="FFFFFFFF"/>
        <rFont val="Noto Sans CJK SC"/>
        <family val="2"/>
      </rPr>
      <t xml:space="preserve">공수 </t>
    </r>
    <r>
      <rPr>
        <b val="true"/>
        <sz val="11"/>
        <color rgb="FFFFFFFF"/>
        <rFont val="Arial"/>
        <family val="0"/>
        <charset val="1"/>
      </rPr>
      <t xml:space="preserve">(MD)</t>
    </r>
  </si>
  <si>
    <t xml:space="preserve">의존성</t>
  </si>
  <si>
    <t xml:space="preserve">Status</t>
  </si>
  <si>
    <t xml:space="preserve">담당자</t>
  </si>
  <si>
    <t xml:space="preserve">Acceptance Criteria</t>
  </si>
  <si>
    <t xml:space="preserve">T-01</t>
  </si>
  <si>
    <t xml:space="preserve">Spec/Design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</si>
  <si>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명세서 확정</t>
    </r>
  </si>
  <si>
    <r>
      <rPr>
        <sz val="10"/>
        <rFont val="Arial"/>
        <family val="0"/>
        <charset val="1"/>
      </rPr>
      <t xml:space="preserve">OpenAPI YAML(/auth/*, /contacts/*) </t>
    </r>
    <r>
      <rPr>
        <sz val="10"/>
        <rFont val="Noto Sans CJK SC"/>
        <family val="2"/>
      </rPr>
      <t xml:space="preserve">검토 및 </t>
    </r>
    <r>
      <rPr>
        <sz val="10"/>
        <rFont val="Arial"/>
        <family val="0"/>
        <charset val="1"/>
      </rPr>
      <t xml:space="preserve">PM·BE·APP </t>
    </r>
    <r>
      <rPr>
        <sz val="10"/>
        <rFont val="Noto Sans CJK SC"/>
        <family val="2"/>
      </rPr>
      <t xml:space="preserve">협의로 </t>
    </r>
    <r>
      <rPr>
        <sz val="10"/>
        <rFont val="Arial"/>
        <family val="0"/>
        <charset val="1"/>
      </rPr>
      <t xml:space="preserve">final fix. </t>
    </r>
    <r>
      <rPr>
        <sz val="10"/>
        <rFont val="Noto Sans CJK SC"/>
        <family val="2"/>
      </rPr>
      <t xml:space="preserve">에러 코드</t>
    </r>
    <r>
      <rPr>
        <sz val="10"/>
        <rFont val="Arial"/>
        <family val="0"/>
        <charset val="1"/>
      </rPr>
      <t xml:space="preserve">·rate limit </t>
    </r>
    <r>
      <rPr>
        <sz val="10"/>
        <rFont val="Noto Sans CJK SC"/>
        <family val="2"/>
      </rPr>
      <t xml:space="preserve">값 확정</t>
    </r>
    <r>
      <rPr>
        <sz val="10"/>
        <rFont val="Arial"/>
        <family val="0"/>
        <charset val="1"/>
      </rPr>
      <t xml:space="preserve">.</t>
    </r>
  </si>
  <si>
    <t xml:space="preserve">PM</t>
  </si>
  <si>
    <r>
      <rPr>
        <sz val="10"/>
        <rFont val="Arial"/>
        <family val="0"/>
        <charset val="1"/>
      </rPr>
      <t xml:space="preserve">OpenAPI YAML </t>
    </r>
    <r>
      <rPr>
        <sz val="10"/>
        <rFont val="Noto Sans CJK SC"/>
        <family val="2"/>
      </rPr>
      <t xml:space="preserve">승인본 확정</t>
    </r>
    <r>
      <rPr>
        <sz val="10"/>
        <rFont val="Arial"/>
        <family val="0"/>
        <charset val="1"/>
      </rPr>
      <t xml:space="preserve">, /auth /contacts 8</t>
    </r>
    <r>
      <rPr>
        <sz val="10"/>
        <rFont val="Noto Sans CJK SC"/>
        <family val="2"/>
      </rPr>
      <t xml:space="preserve">개 엔드포인트 정의 완료</t>
    </r>
  </si>
  <si>
    <t xml:space="preserve">T-02</t>
  </si>
  <si>
    <r>
      <rPr>
        <sz val="10"/>
        <rFont val="Arial"/>
        <family val="0"/>
        <charset val="1"/>
      </rPr>
      <t xml:space="preserve">UI/UX </t>
    </r>
    <r>
      <rPr>
        <sz val="10"/>
        <rFont val="Noto Sans CJK SC"/>
        <family val="2"/>
      </rPr>
      <t xml:space="preserve">와이어프레임</t>
    </r>
  </si>
  <si>
    <r>
      <rPr>
        <sz val="10"/>
        <rFont val="Noto Sans CJK SC"/>
        <family val="2"/>
      </rPr>
      <t xml:space="preserve">전화번호 입력</t>
    </r>
    <r>
      <rPr>
        <sz val="10"/>
        <rFont val="Arial"/>
        <family val="0"/>
        <charset val="1"/>
      </rPr>
      <t xml:space="preserve">·SMS </t>
    </r>
    <r>
      <rPr>
        <sz val="10"/>
        <rFont val="Noto Sans CJK SC"/>
        <family val="2"/>
      </rPr>
      <t xml:space="preserve">코드 입력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자동 로그인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연락처 동기화 동의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화면 디자인</t>
    </r>
    <r>
      <rPr>
        <sz val="10"/>
        <rFont val="Arial"/>
        <family val="0"/>
        <charset val="1"/>
      </rPr>
      <t xml:space="preserve">.</t>
    </r>
  </si>
  <si>
    <t xml:space="preserve">DESIGN</t>
  </si>
  <si>
    <r>
      <rPr>
        <sz val="10"/>
        <rFont val="Arial"/>
        <family val="0"/>
        <charset val="1"/>
      </rPr>
      <t xml:space="preserve">Figma </t>
    </r>
    <r>
      <rPr>
        <sz val="10"/>
        <rFont val="Noto Sans CJK SC"/>
        <family val="2"/>
      </rPr>
      <t xml:space="preserve">와이어프레임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개 화면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에러 상태 정의</t>
    </r>
  </si>
  <si>
    <t xml:space="preserve">T-03</t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</si>
  <si>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메시지 템플릿 작성</t>
    </r>
  </si>
  <si>
    <r>
      <rPr>
        <sz val="10"/>
        <rFont val="Arial"/>
        <family val="0"/>
        <charset val="1"/>
      </rPr>
      <t xml:space="preserve">OTP </t>
    </r>
    <r>
      <rPr>
        <sz val="10"/>
        <rFont val="Noto Sans CJK SC"/>
        <family val="2"/>
      </rPr>
      <t xml:space="preserve">메시지 </t>
    </r>
    <r>
      <rPr>
        <sz val="10"/>
        <rFont val="Arial"/>
        <family val="0"/>
        <charset val="1"/>
      </rPr>
      <t xml:space="preserve">(KO/EN), </t>
    </r>
    <r>
      <rPr>
        <sz val="10"/>
        <rFont val="Noto Sans CJK SC"/>
        <family val="2"/>
      </rPr>
      <t xml:space="preserve">초대 </t>
    </r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메시지 템플릿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발송자 명의 등록 </t>
    </r>
    <r>
      <rPr>
        <sz val="10"/>
        <rFont val="Arial"/>
        <family val="0"/>
        <charset val="1"/>
      </rPr>
      <t xml:space="preserve">(KISA </t>
    </r>
    <r>
      <rPr>
        <sz val="10"/>
        <rFont val="Noto Sans CJK SC"/>
        <family val="2"/>
      </rPr>
      <t xml:space="preserve">사전 등록 필요</t>
    </r>
    <r>
      <rPr>
        <sz val="10"/>
        <rFont val="Arial"/>
        <family val="0"/>
        <charset val="1"/>
      </rPr>
      <t xml:space="preserve">).</t>
    </r>
  </si>
  <si>
    <r>
      <rPr>
        <sz val="10"/>
        <rFont val="Arial"/>
        <family val="0"/>
        <charset val="1"/>
      </rPr>
      <t xml:space="preserve">KISA </t>
    </r>
    <r>
      <rPr>
        <sz val="10"/>
        <rFont val="Noto Sans CJK SC"/>
        <family val="2"/>
      </rPr>
      <t xml:space="preserve">등록용 템플릿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종 확정</t>
    </r>
  </si>
  <si>
    <t xml:space="preserve">T-10</t>
  </si>
  <si>
    <t xml:space="preserve">Infra/DB</t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</si>
  <si>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마이그레이션 </t>
    </r>
    <r>
      <rPr>
        <sz val="10"/>
        <rFont val="Arial"/>
        <family val="0"/>
        <charset val="1"/>
      </rPr>
      <t xml:space="preserve">Phase 1 </t>
    </r>
    <r>
      <rPr>
        <sz val="10"/>
        <rFont val="Noto Sans CJK SC"/>
        <family val="2"/>
      </rPr>
      <t xml:space="preserve">실행</t>
    </r>
  </si>
  <si>
    <r>
      <rPr>
        <sz val="10"/>
        <rFont val="Arial"/>
        <family val="0"/>
        <charset val="1"/>
      </rPr>
      <t xml:space="preserve">phase1_auth_infrastructure.sql </t>
    </r>
    <r>
      <rPr>
        <sz val="10"/>
        <rFont val="Noto Sans CJK SC"/>
        <family val="2"/>
      </rPr>
      <t xml:space="preserve">적용</t>
    </r>
    <r>
      <rPr>
        <sz val="10"/>
        <rFont val="Arial"/>
        <family val="0"/>
        <charset val="1"/>
      </rPr>
      <t xml:space="preserve">. users </t>
    </r>
    <r>
      <rPr>
        <sz val="10"/>
        <rFont val="Noto Sans CJK SC"/>
        <family val="2"/>
      </rPr>
      <t xml:space="preserve">확장</t>
    </r>
    <r>
      <rPr>
        <sz val="10"/>
        <rFont val="Arial"/>
        <family val="0"/>
        <charset val="1"/>
      </rPr>
      <t xml:space="preserve">, auth_codes, refresh_tokens, contact_links </t>
    </r>
    <r>
      <rPr>
        <sz val="10"/>
        <rFont val="Noto Sans CJK SC"/>
        <family val="2"/>
      </rPr>
      <t xml:space="preserve">테이블 생성</t>
    </r>
    <r>
      <rPr>
        <sz val="10"/>
        <rFont val="Arial"/>
        <family val="0"/>
        <charset val="1"/>
      </rPr>
      <t xml:space="preserve">.</t>
    </r>
  </si>
  <si>
    <t xml:space="preserve">INFRA</t>
  </si>
  <si>
    <r>
      <rPr>
        <sz val="10"/>
        <rFont val="Noto Sans CJK SC"/>
        <family val="2"/>
      </rPr>
      <t xml:space="preserve">스키마 적용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백필 결과 검증 쿼리 통과</t>
    </r>
  </si>
  <si>
    <t xml:space="preserve">T-11</t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</si>
  <si>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게이트웨이 연동 설정</t>
    </r>
  </si>
  <si>
    <r>
      <rPr>
        <sz val="10"/>
        <rFont val="Noto Sans CJK SC"/>
        <family val="2"/>
      </rPr>
      <t xml:space="preserve">선정된 벤더</t>
    </r>
    <r>
      <rPr>
        <sz val="10"/>
        <rFont val="Arial"/>
        <family val="0"/>
        <charset val="1"/>
      </rPr>
      <t xml:space="preserve">(D-10 </t>
    </r>
    <r>
      <rPr>
        <sz val="10"/>
        <rFont val="Noto Sans CJK SC"/>
        <family val="2"/>
      </rPr>
      <t xml:space="preserve">결정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키 발급</t>
    </r>
    <r>
      <rPr>
        <sz val="10"/>
        <rFont val="Arial"/>
        <family val="0"/>
        <charset val="1"/>
      </rPr>
      <t xml:space="preserve">, dev/stg/prod </t>
    </r>
    <r>
      <rPr>
        <sz val="10"/>
        <rFont val="Noto Sans CJK SC"/>
        <family val="2"/>
      </rPr>
      <t xml:space="preserve">환경별 설정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발신 번호 등록</t>
    </r>
    <r>
      <rPr>
        <sz val="10"/>
        <rFont val="Arial"/>
        <family val="0"/>
        <charset val="1"/>
      </rPr>
      <t xml:space="preserve">.</t>
    </r>
  </si>
  <si>
    <t xml:space="preserve">D-10(Decision)</t>
  </si>
  <si>
    <r>
      <rPr>
        <sz val="10"/>
        <rFont val="Arial"/>
        <family val="0"/>
        <charset val="1"/>
      </rPr>
      <t xml:space="preserve">dev </t>
    </r>
    <r>
      <rPr>
        <sz val="10"/>
        <rFont val="Noto Sans CJK SC"/>
        <family val="2"/>
      </rPr>
      <t xml:space="preserve">환경에서 테스트 </t>
    </r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발송 성공</t>
    </r>
  </si>
  <si>
    <t xml:space="preserve">T-12</t>
  </si>
  <si>
    <r>
      <rPr>
        <sz val="10"/>
        <rFont val="Arial"/>
        <family val="0"/>
        <charset val="1"/>
      </rPr>
      <t xml:space="preserve">Rate Limit </t>
    </r>
    <r>
      <rPr>
        <sz val="10"/>
        <rFont val="Noto Sans CJK SC"/>
        <family val="2"/>
      </rPr>
      <t xml:space="preserve">인프라 구성</t>
    </r>
  </si>
  <si>
    <r>
      <rPr>
        <sz val="10"/>
        <rFont val="Arial"/>
        <family val="0"/>
        <charset val="1"/>
      </rPr>
      <t xml:space="preserve">Redis </t>
    </r>
    <r>
      <rPr>
        <sz val="10"/>
        <rFont val="Noto Sans CJK SC"/>
        <family val="2"/>
      </rPr>
      <t xml:space="preserve">기반 </t>
    </r>
    <r>
      <rPr>
        <sz val="10"/>
        <rFont val="Arial"/>
        <family val="0"/>
        <charset val="1"/>
      </rPr>
      <t xml:space="preserve">rate limiter (</t>
    </r>
    <r>
      <rPr>
        <sz val="10"/>
        <rFont val="Noto Sans CJK SC"/>
        <family val="2"/>
      </rPr>
      <t xml:space="preserve">시간당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번호</t>
    </r>
    <r>
      <rPr>
        <sz val="10"/>
        <rFont val="Arial"/>
        <family val="0"/>
        <charset val="1"/>
      </rPr>
      <t xml:space="preserve">, 20</t>
    </r>
    <r>
      <rPr>
        <sz val="10"/>
        <rFont val="Noto Sans CJK SC"/>
        <family val="2"/>
      </rPr>
      <t xml:space="preserve">회</t>
    </r>
    <r>
      <rPr>
        <sz val="10"/>
        <rFont val="Arial"/>
        <family val="0"/>
        <charset val="1"/>
      </rPr>
      <t xml:space="preserve">/IP). Spring Boot </t>
    </r>
    <r>
      <rPr>
        <sz val="10"/>
        <rFont val="Noto Sans CJK SC"/>
        <family val="2"/>
      </rPr>
      <t xml:space="preserve">빈 등록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</si>
  <si>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Redis </t>
    </r>
    <r>
      <rPr>
        <sz val="10"/>
        <rFont val="Noto Sans CJK SC"/>
        <family val="2"/>
      </rPr>
      <t xml:space="preserve">카운터 동작 확인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한도 초과 시 </t>
    </r>
    <r>
      <rPr>
        <sz val="10"/>
        <rFont val="Arial"/>
        <family val="0"/>
        <charset val="1"/>
      </rPr>
      <t xml:space="preserve">429 </t>
    </r>
    <r>
      <rPr>
        <sz val="10"/>
        <rFont val="Noto Sans CJK SC"/>
        <family val="2"/>
      </rPr>
      <t xml:space="preserve">응답</t>
    </r>
  </si>
  <si>
    <t xml:space="preserve">T-20</t>
  </si>
  <si>
    <t xml:space="preserve">BE-Auth</t>
  </si>
  <si>
    <r>
      <rPr>
        <sz val="10"/>
        <rFont val="Arial"/>
        <family val="0"/>
        <charset val="1"/>
      </rPr>
      <t xml:space="preserve">User </t>
    </r>
    <r>
      <rPr>
        <sz val="10"/>
        <rFont val="Noto Sans CJK SC"/>
        <family val="2"/>
      </rPr>
      <t xml:space="preserve">엔티티 확장</t>
    </r>
  </si>
  <si>
    <r>
      <rPr>
        <sz val="10"/>
        <rFont val="Arial"/>
        <family val="0"/>
        <charset val="1"/>
      </rPr>
      <t xml:space="preserve">UsersEntity</t>
    </r>
    <r>
      <rPr>
        <sz val="10"/>
        <rFont val="Noto Sans CJK SC"/>
        <family val="2"/>
      </rPr>
      <t xml:space="preserve">에 </t>
    </r>
    <r>
      <rPr>
        <sz val="10"/>
        <rFont val="Arial"/>
        <family val="0"/>
        <charset val="1"/>
      </rPr>
      <t xml:space="preserve">phone, phone_verified, status, last_login_at, device_id </t>
    </r>
    <r>
      <rPr>
        <sz val="10"/>
        <rFont val="Noto Sans CJK SC"/>
        <family val="2"/>
      </rPr>
      <t xml:space="preserve">필드 추가</t>
    </r>
    <r>
      <rPr>
        <sz val="10"/>
        <rFont val="Arial"/>
        <family val="0"/>
        <charset val="1"/>
      </rPr>
      <t xml:space="preserve">. JPA </t>
    </r>
    <r>
      <rPr>
        <sz val="10"/>
        <rFont val="Noto Sans CJK SC"/>
        <family val="2"/>
      </rPr>
      <t xml:space="preserve">매핑</t>
    </r>
    <r>
      <rPr>
        <sz val="10"/>
        <rFont val="Arial"/>
        <family val="0"/>
        <charset val="1"/>
      </rPr>
      <t xml:space="preserve">.</t>
    </r>
  </si>
  <si>
    <t xml:space="preserve">BE</t>
  </si>
  <si>
    <r>
      <rPr>
        <sz val="10"/>
        <rFont val="Arial"/>
        <family val="0"/>
        <charset val="1"/>
      </rPr>
      <t xml:space="preserve">JPA </t>
    </r>
    <r>
      <rPr>
        <sz val="10"/>
        <rFont val="Noto Sans CJK SC"/>
        <family val="2"/>
      </rPr>
      <t xml:space="preserve">매핑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단위 테스트 통과</t>
    </r>
  </si>
  <si>
    <t xml:space="preserve">T-21</t>
  </si>
  <si>
    <r>
      <rPr>
        <sz val="10"/>
        <rFont val="Arial"/>
        <family val="0"/>
        <charset val="1"/>
      </rPr>
      <t xml:space="preserve">AuthCode </t>
    </r>
    <r>
      <rPr>
        <sz val="10"/>
        <rFont val="Noto Sans CJK SC"/>
        <family val="2"/>
      </rPr>
      <t xml:space="preserve">엔티티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레포지토리</t>
    </r>
  </si>
  <si>
    <r>
      <rPr>
        <sz val="10"/>
        <rFont val="Arial"/>
        <family val="0"/>
        <charset val="1"/>
      </rPr>
      <t xml:space="preserve">AuthCode JPA </t>
    </r>
    <r>
      <rPr>
        <sz val="10"/>
        <rFont val="Noto Sans CJK SC"/>
        <family val="2"/>
      </rPr>
      <t xml:space="preserve">엔티티</t>
    </r>
    <r>
      <rPr>
        <sz val="10"/>
        <rFont val="Arial"/>
        <family val="0"/>
        <charset val="1"/>
      </rPr>
      <t xml:space="preserve">, AuthCodeRepository (</t>
    </r>
    <r>
      <rPr>
        <sz val="10"/>
        <rFont val="Noto Sans CJK SC"/>
        <family val="2"/>
      </rPr>
      <t xml:space="preserve">만료된 코드 조회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정리</t>
    </r>
    <r>
      <rPr>
        <sz val="10"/>
        <rFont val="Arial"/>
        <family val="0"/>
        <charset val="1"/>
      </rPr>
      <t xml:space="preserve">).</t>
    </r>
  </si>
  <si>
    <r>
      <rPr>
        <sz val="10"/>
        <rFont val="Noto Sans CJK SC"/>
        <family val="2"/>
      </rPr>
      <t xml:space="preserve">엔티티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레포 작성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만료 코드 자동 정리 스케줄러 동작</t>
    </r>
  </si>
  <si>
    <t xml:space="preserve">T-22</t>
  </si>
  <si>
    <r>
      <rPr>
        <sz val="10"/>
        <rFont val="Arial"/>
        <family val="0"/>
        <charset val="1"/>
      </rPr>
      <t xml:space="preserve">SmsService </t>
    </r>
    <r>
      <rPr>
        <sz val="10"/>
        <rFont val="Noto Sans CJK SC"/>
        <family val="2"/>
      </rPr>
      <t xml:space="preserve">구현</t>
    </r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</si>
  <si>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발송 추상화 인터페이스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선정 벤더 구현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발송 실패 시 </t>
    </r>
    <r>
      <rPr>
        <sz val="10"/>
        <rFont val="Arial"/>
        <family val="0"/>
        <charset val="1"/>
      </rPr>
      <t xml:space="preserve">retry, </t>
    </r>
    <r>
      <rPr>
        <sz val="10"/>
        <rFont val="Noto Sans CJK SC"/>
        <family val="2"/>
      </rPr>
      <t xml:space="preserve">로깅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</si>
  <si>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단위 테스트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통합 테스트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모킹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통과</t>
    </r>
  </si>
  <si>
    <t xml:space="preserve">T-23</t>
  </si>
  <si>
    <t xml:space="preserve">AuthController + AuthService</t>
  </si>
  <si>
    <r>
      <rPr>
        <sz val="10"/>
        <rFont val="Arial"/>
        <family val="0"/>
        <charset val="1"/>
      </rPr>
      <t xml:space="preserve">/auth/request-code, /auth/verify-code, /auth/refresh, /auth/logout 4</t>
    </r>
    <r>
      <rPr>
        <sz val="10"/>
        <rFont val="Noto Sans CJK SC"/>
        <family val="2"/>
      </rPr>
      <t xml:space="preserve">개 엔드포인트 구현</t>
    </r>
    <r>
      <rPr>
        <sz val="10"/>
        <rFont val="Arial"/>
        <family val="0"/>
        <charset val="1"/>
      </rPr>
      <t xml:space="preserve">.</t>
    </r>
  </si>
  <si>
    <t xml:space="preserve">T-20,T-21,T-22</t>
  </si>
  <si>
    <r>
      <rPr>
        <sz val="10"/>
        <rFont val="Arial"/>
        <family val="0"/>
        <charset val="1"/>
      </rPr>
      <t xml:space="preserve">OpenAPI </t>
    </r>
    <r>
      <rPr>
        <sz val="10"/>
        <rFont val="Noto Sans CJK SC"/>
        <family val="2"/>
      </rPr>
      <t xml:space="preserve">명세대로 동작</t>
    </r>
    <r>
      <rPr>
        <sz val="10"/>
        <rFont val="Arial"/>
        <family val="0"/>
        <charset val="1"/>
      </rPr>
      <t xml:space="preserve">, JWT </t>
    </r>
    <r>
      <rPr>
        <sz val="10"/>
        <rFont val="Noto Sans CJK SC"/>
        <family val="2"/>
      </rPr>
      <t xml:space="preserve">발급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코드 검증 실패 시 </t>
    </r>
    <r>
      <rPr>
        <sz val="10"/>
        <rFont val="Arial"/>
        <family val="0"/>
        <charset val="1"/>
      </rPr>
      <t xml:space="preserve">attempts </t>
    </r>
    <r>
      <rPr>
        <sz val="10"/>
        <rFont val="Noto Sans CJK SC"/>
        <family val="2"/>
      </rPr>
      <t xml:space="preserve">카운트</t>
    </r>
  </si>
  <si>
    <t xml:space="preserve">T-24</t>
  </si>
  <si>
    <r>
      <rPr>
        <sz val="10"/>
        <rFont val="Arial"/>
        <family val="0"/>
        <charset val="1"/>
      </rPr>
      <t xml:space="preserve">JWT </t>
    </r>
    <r>
      <rPr>
        <sz val="10"/>
        <rFont val="Noto Sans CJK SC"/>
        <family val="2"/>
      </rPr>
      <t xml:space="preserve">필터 통합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</si>
  <si>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RequestFilterConfiguration</t>
    </r>
    <r>
      <rPr>
        <sz val="10"/>
        <rFont val="Noto Sans CJK SC"/>
        <family val="2"/>
      </rPr>
      <t xml:space="preserve">에 신규 </t>
    </r>
    <r>
      <rPr>
        <sz val="10"/>
        <rFont val="Arial"/>
        <family val="0"/>
        <charset val="1"/>
      </rPr>
      <t xml:space="preserve">phone-based JWT </t>
    </r>
    <r>
      <rPr>
        <sz val="10"/>
        <rFont val="Noto Sans CJK SC"/>
        <family val="2"/>
      </rPr>
      <t xml:space="preserve">클레임 추가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password </t>
    </r>
    <r>
      <rPr>
        <sz val="10"/>
        <rFont val="Noto Sans CJK SC"/>
        <family val="2"/>
      </rPr>
      <t xml:space="preserve">인증과 병행 가능하도록</t>
    </r>
    <r>
      <rPr>
        <sz val="10"/>
        <rFont val="Arial"/>
        <family val="0"/>
        <charset val="1"/>
      </rPr>
      <t xml:space="preserve">.</t>
    </r>
  </si>
  <si>
    <t xml:space="preserve">T-23,D-09(Decision)</t>
  </si>
  <si>
    <r>
      <rPr>
        <sz val="10"/>
        <rFont val="Arial"/>
        <family val="0"/>
        <charset val="1"/>
      </rPr>
      <t xml:space="preserve">phone JWT</t>
    </r>
    <r>
      <rPr>
        <sz val="10"/>
        <rFont val="Noto Sans CJK SC"/>
        <family val="2"/>
      </rPr>
      <t xml:space="preserve">로 보호된 엔드포인트 접근 가능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기존 토큰 호환</t>
    </r>
  </si>
  <si>
    <t xml:space="preserve">T-25</t>
  </si>
  <si>
    <r>
      <rPr>
        <sz val="10"/>
        <rFont val="Arial"/>
        <family val="0"/>
        <charset val="1"/>
      </rPr>
      <t xml:space="preserve">RefreshToken </t>
    </r>
    <r>
      <rPr>
        <sz val="10"/>
        <rFont val="Noto Sans CJK SC"/>
        <family val="2"/>
      </rPr>
      <t xml:space="preserve">회전 로직</t>
    </r>
  </si>
  <si>
    <r>
      <rPr>
        <sz val="10"/>
        <rFont val="Noto Sans CJK SC"/>
        <family val="2"/>
      </rPr>
      <t xml:space="preserve">리프레시 토큰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회 사용 후 회전</t>
    </r>
    <r>
      <rPr>
        <sz val="10"/>
        <rFont val="Arial"/>
        <family val="0"/>
        <charset val="1"/>
      </rPr>
      <t xml:space="preserve">(rotation), </t>
    </r>
    <r>
      <rPr>
        <sz val="10"/>
        <rFont val="Noto Sans CJK SC"/>
        <family val="2"/>
      </rPr>
      <t xml:space="preserve">탈취 감지 시 전체 무효화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</si>
  <si>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토큰 회전 정상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재사용 시 전체 무효화</t>
    </r>
  </si>
  <si>
    <t xml:space="preserve">T-30</t>
  </si>
  <si>
    <t xml:space="preserve">BE-Contacts</t>
  </si>
  <si>
    <r>
      <rPr>
        <sz val="10"/>
        <rFont val="Arial"/>
        <family val="0"/>
        <charset val="1"/>
      </rPr>
      <t xml:space="preserve">ContactSync API </t>
    </r>
    <r>
      <rPr>
        <sz val="10"/>
        <rFont val="Noto Sans CJK SC"/>
        <family val="2"/>
      </rPr>
      <t xml:space="preserve">구현</t>
    </r>
  </si>
  <si>
    <r>
      <rPr>
        <sz val="10"/>
        <rFont val="Arial"/>
        <family val="0"/>
        <charset val="1"/>
      </rPr>
      <t xml:space="preserve">/contacts/sync — SHA-256 </t>
    </r>
    <r>
      <rPr>
        <sz val="10"/>
        <rFont val="Noto Sans CJK SC"/>
        <family val="2"/>
      </rPr>
      <t xml:space="preserve">해시 비교로 가입자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미가입자 분리 반환</t>
    </r>
    <r>
      <rPr>
        <sz val="10"/>
        <rFont val="Arial"/>
        <family val="0"/>
        <charset val="1"/>
      </rPr>
      <t xml:space="preserve">.</t>
    </r>
  </si>
  <si>
    <t xml:space="preserve">T-10,T-23</t>
  </si>
  <si>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건 해시 비교 </t>
    </r>
    <r>
      <rPr>
        <sz val="10"/>
        <rFont val="Arial"/>
        <family val="0"/>
        <charset val="1"/>
      </rPr>
      <t xml:space="preserve">200ms </t>
    </r>
    <r>
      <rPr>
        <sz val="10"/>
        <rFont val="Noto Sans CJK SC"/>
        <family val="2"/>
      </rPr>
      <t xml:space="preserve">이내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평문 전화번호 미저장</t>
    </r>
  </si>
  <si>
    <t xml:space="preserve">T-31</t>
  </si>
  <si>
    <r>
      <rPr>
        <sz val="10"/>
        <rFont val="Arial"/>
        <family val="0"/>
        <charset val="1"/>
      </rPr>
      <t xml:space="preserve">ContactInvite API </t>
    </r>
    <r>
      <rPr>
        <sz val="10"/>
        <rFont val="Noto Sans CJK SC"/>
        <family val="2"/>
      </rPr>
      <t xml:space="preserve">구현</t>
    </r>
  </si>
  <si>
    <r>
      <rPr>
        <sz val="10"/>
        <rFont val="Arial"/>
        <family val="0"/>
        <charset val="1"/>
      </rPr>
      <t xml:space="preserve">/contacts/invite — </t>
    </r>
    <r>
      <rPr>
        <sz val="10"/>
        <rFont val="Noto Sans CJK SC"/>
        <family val="2"/>
      </rPr>
      <t xml:space="preserve">미가입자 대상 </t>
    </r>
    <r>
      <rPr>
        <sz val="10"/>
        <rFont val="Arial"/>
        <family val="0"/>
        <charset val="1"/>
      </rPr>
      <t xml:space="preserve">SMS·</t>
    </r>
    <r>
      <rPr>
        <sz val="10"/>
        <rFont val="Noto Sans CJK SC"/>
        <family val="2"/>
      </rPr>
      <t xml:space="preserve">카카오 초대 발송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발송 이력 </t>
    </r>
    <r>
      <rPr>
        <sz val="10"/>
        <rFont val="Arial"/>
        <family val="0"/>
        <charset val="1"/>
      </rPr>
      <t xml:space="preserve">contact_links </t>
    </r>
    <r>
      <rPr>
        <sz val="10"/>
        <rFont val="Noto Sans CJK SC"/>
        <family val="2"/>
      </rPr>
      <t xml:space="preserve">저장</t>
    </r>
    <r>
      <rPr>
        <sz val="10"/>
        <rFont val="Arial"/>
        <family val="0"/>
        <charset val="1"/>
      </rPr>
      <t xml:space="preserve">.</t>
    </r>
  </si>
  <si>
    <t xml:space="preserve">T-22,T-30</t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</si>
  <si>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발송 성공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가입 시 자동 매칭 동작</t>
    </r>
  </si>
  <si>
    <t xml:space="preserve">T-32</t>
  </si>
  <si>
    <t xml:space="preserve">미인증 채팅 한도 로직</t>
  </si>
  <si>
    <r>
      <rPr>
        <sz val="10"/>
        <rFont val="Noto Sans CJK SC"/>
        <family val="2"/>
      </rPr>
      <t xml:space="preserve">미인증 관계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일 메시지 한도 제한 </t>
    </r>
    <r>
      <rPr>
        <sz val="10"/>
        <rFont val="Arial"/>
        <family val="0"/>
        <charset val="1"/>
      </rPr>
      <t xml:space="preserve">(D-04 </t>
    </r>
    <r>
      <rPr>
        <sz val="10"/>
        <rFont val="Noto Sans CJK SC"/>
        <family val="2"/>
      </rPr>
      <t xml:space="preserve">결정값 적용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한도 초과 시 인증 유도 메시지</t>
    </r>
    <r>
      <rPr>
        <sz val="10"/>
        <rFont val="Arial"/>
        <family val="0"/>
        <charset val="1"/>
      </rPr>
      <t xml:space="preserve">.</t>
    </r>
  </si>
  <si>
    <t xml:space="preserve">T-30,D-04(Decision)</t>
  </si>
  <si>
    <r>
      <rPr>
        <sz val="10"/>
        <rFont val="Noto Sans CJK SC"/>
        <family val="2"/>
      </rPr>
      <t xml:space="preserve">한도 정상 동작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자정 리셋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인증 시 무제한 전환</t>
    </r>
  </si>
  <si>
    <t xml:space="preserve">T-40</t>
  </si>
  <si>
    <t xml:space="preserve">APP-Auth</t>
  </si>
  <si>
    <r>
      <rPr>
        <sz val="10"/>
        <rFont val="Arial"/>
        <family val="0"/>
        <charset val="1"/>
      </rPr>
      <t xml:space="preserve">auth_phone </t>
    </r>
    <r>
      <rPr>
        <sz val="10"/>
        <rFont val="Noto Sans CJK SC"/>
        <family val="2"/>
      </rPr>
      <t xml:space="preserve">모듈 신규 생성</t>
    </r>
  </si>
  <si>
    <r>
      <rPr>
        <sz val="10"/>
        <rFont val="Arial"/>
        <family val="0"/>
        <charset val="1"/>
      </rPr>
      <t xml:space="preserve">lib/presentation/modules/auth_phone/ </t>
    </r>
    <r>
      <rPr>
        <sz val="10"/>
        <rFont val="Noto Sans CJK SC"/>
        <family val="2"/>
      </rPr>
      <t xml:space="preserve">구조 생성</t>
    </r>
    <r>
      <rPr>
        <sz val="10"/>
        <rFont val="Arial"/>
        <family val="0"/>
        <charset val="1"/>
      </rPr>
      <t xml:space="preserve">. AuthPhoneCubit, AuthPhoneState, view </t>
    </r>
    <r>
      <rPr>
        <sz val="10"/>
        <rFont val="Noto Sans CJK SC"/>
        <family val="2"/>
      </rPr>
      <t xml:space="preserve">화면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개</t>
    </r>
    <r>
      <rPr>
        <sz val="10"/>
        <rFont val="Arial"/>
        <family val="0"/>
        <charset val="1"/>
      </rPr>
      <t xml:space="preserve">.</t>
    </r>
  </si>
  <si>
    <t xml:space="preserve">APP</t>
  </si>
  <si>
    <r>
      <rPr>
        <sz val="10"/>
        <rFont val="Arial"/>
        <family val="0"/>
        <charset val="1"/>
      </rPr>
      <t xml:space="preserve">BLoC </t>
    </r>
    <r>
      <rPr>
        <sz val="10"/>
        <rFont val="Noto Sans CJK SC"/>
        <family val="2"/>
      </rPr>
      <t xml:space="preserve">패턴 적용</t>
    </r>
    <r>
      <rPr>
        <sz val="10"/>
        <rFont val="Arial"/>
        <family val="0"/>
        <charset val="1"/>
      </rPr>
      <t xml:space="preserve">, GoRouter </t>
    </r>
    <r>
      <rPr>
        <sz val="10"/>
        <rFont val="Noto Sans CJK SC"/>
        <family val="2"/>
      </rPr>
      <t xml:space="preserve">라우트 등록</t>
    </r>
  </si>
  <si>
    <t xml:space="preserve">T-41</t>
  </si>
  <si>
    <t xml:space="preserve">전화번호 입력 화면</t>
  </si>
  <si>
    <r>
      <rPr>
        <sz val="10"/>
        <rFont val="Noto Sans CJK SC"/>
        <family val="2"/>
      </rPr>
      <t xml:space="preserve">국가 코드 선택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번호 입력 </t>
    </r>
    <r>
      <rPr>
        <sz val="10"/>
        <rFont val="Arial"/>
        <family val="0"/>
        <charset val="1"/>
      </rPr>
      <t xml:space="preserve">validation, E.164 </t>
    </r>
    <r>
      <rPr>
        <sz val="10"/>
        <rFont val="Noto Sans CJK SC"/>
        <family val="2"/>
      </rPr>
      <t xml:space="preserve">변환</t>
    </r>
    <r>
      <rPr>
        <sz val="10"/>
        <rFont val="Arial"/>
        <family val="0"/>
        <charset val="1"/>
      </rPr>
      <t xml:space="preserve">. /auth/request-code </t>
    </r>
    <r>
      <rPr>
        <sz val="10"/>
        <rFont val="Noto Sans CJK SC"/>
        <family val="2"/>
      </rPr>
      <t xml:space="preserve">호출</t>
    </r>
    <r>
      <rPr>
        <sz val="10"/>
        <rFont val="Arial"/>
        <family val="0"/>
        <charset val="1"/>
      </rPr>
      <t xml:space="preserve">.</t>
    </r>
  </si>
  <si>
    <t xml:space="preserve">T-40,T-23</t>
  </si>
  <si>
    <r>
      <rPr>
        <sz val="10"/>
        <rFont val="Noto Sans CJK SC"/>
        <family val="2"/>
      </rPr>
      <t xml:space="preserve">디자인 일치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잘못된 번호 에러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발송 성공 후 다음 화면 전환</t>
    </r>
  </si>
  <si>
    <t xml:space="preserve">T-42</t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</si>
  <si>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코드 입력 화면</t>
    </r>
  </si>
  <si>
    <r>
      <rPr>
        <sz val="10"/>
        <rFont val="Arial"/>
        <family val="0"/>
        <charset val="1"/>
      </rPr>
      <t xml:space="preserve">6</t>
    </r>
    <r>
      <rPr>
        <sz val="10"/>
        <rFont val="Noto Sans CJK SC"/>
        <family val="2"/>
      </rPr>
      <t xml:space="preserve">자리 코드 입력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자동 채움 지원</t>
    </r>
    <r>
      <rPr>
        <sz val="10"/>
        <rFont val="Arial"/>
        <family val="0"/>
        <charset val="1"/>
      </rPr>
      <t xml:space="preserve">), 3</t>
    </r>
    <r>
      <rPr>
        <sz val="10"/>
        <rFont val="Noto Sans CJK SC"/>
        <family val="2"/>
      </rPr>
      <t xml:space="preserve">분 카운트다운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재발송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 쿨다운 </t>
    </r>
    <r>
      <rPr>
        <sz val="10"/>
        <rFont val="Arial"/>
        <family val="0"/>
        <charset val="1"/>
      </rPr>
      <t xml:space="preserve">UI.</t>
    </r>
  </si>
  <si>
    <r>
      <rPr>
        <sz val="10"/>
        <rFont val="Arial"/>
        <family val="0"/>
        <charset val="1"/>
      </rPr>
      <t xml:space="preserve">iOS·Android SMS </t>
    </r>
    <r>
      <rPr>
        <sz val="10"/>
        <rFont val="Noto Sans CJK SC"/>
        <family val="2"/>
      </rPr>
      <t xml:space="preserve">자동 채움 동작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카운트다운 정확</t>
    </r>
  </si>
  <si>
    <t xml:space="preserve">T-43</t>
  </si>
  <si>
    <t xml:space="preserve">토큰 보안 저장</t>
  </si>
  <si>
    <r>
      <rPr>
        <sz val="10"/>
        <rFont val="Arial"/>
        <family val="0"/>
        <charset val="1"/>
      </rPr>
      <t xml:space="preserve">flutter_secure_storage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access/refresh </t>
    </r>
    <r>
      <rPr>
        <sz val="10"/>
        <rFont val="Noto Sans CJK SC"/>
        <family val="2"/>
      </rPr>
      <t xml:space="preserve">토큰 저장</t>
    </r>
    <r>
      <rPr>
        <sz val="10"/>
        <rFont val="Arial"/>
        <family val="0"/>
        <charset val="1"/>
      </rPr>
      <t xml:space="preserve">. Dio interceptor</t>
    </r>
    <r>
      <rPr>
        <sz val="10"/>
        <rFont val="Noto Sans CJK SC"/>
        <family val="2"/>
      </rPr>
      <t xml:space="preserve">에 자동 헤더 주입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</si>
  <si>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앱 재시작 후 자동 로그인</t>
    </r>
    <r>
      <rPr>
        <sz val="10"/>
        <rFont val="Arial"/>
        <family val="0"/>
        <charset val="1"/>
      </rPr>
      <t xml:space="preserve">, 401 </t>
    </r>
    <r>
      <rPr>
        <sz val="10"/>
        <rFont val="Noto Sans CJK SC"/>
        <family val="2"/>
      </rPr>
      <t xml:space="preserve">시 </t>
    </r>
    <r>
      <rPr>
        <sz val="10"/>
        <rFont val="Arial"/>
        <family val="0"/>
        <charset val="1"/>
      </rPr>
      <t xml:space="preserve">refresh </t>
    </r>
    <r>
      <rPr>
        <sz val="10"/>
        <rFont val="Noto Sans CJK SC"/>
        <family val="2"/>
      </rPr>
      <t xml:space="preserve">자동 갱신</t>
    </r>
  </si>
  <si>
    <t xml:space="preserve">T-44</t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</si>
  <si>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login </t>
    </r>
    <r>
      <rPr>
        <sz val="10"/>
        <rFont val="Noto Sans CJK SC"/>
        <family val="2"/>
      </rPr>
      <t xml:space="preserve">모듈 마이그레이션</t>
    </r>
  </si>
  <si>
    <r>
      <rPr>
        <sz val="10"/>
        <rFont val="Noto Sans CJK SC"/>
        <family val="2"/>
      </rPr>
      <t xml:space="preserve">기존 </t>
    </r>
    <r>
      <rPr>
        <sz val="10"/>
        <rFont val="Arial"/>
        <family val="0"/>
        <charset val="1"/>
      </rPr>
      <t xml:space="preserve">login/ </t>
    </r>
    <r>
      <rPr>
        <sz val="10"/>
        <rFont val="Noto Sans CJK SC"/>
        <family val="2"/>
      </rPr>
      <t xml:space="preserve">모듈을 </t>
    </r>
    <r>
      <rPr>
        <sz val="10"/>
        <rFont val="Arial"/>
        <family val="0"/>
        <charset val="1"/>
      </rPr>
      <t xml:space="preserve">deprecate</t>
    </r>
    <r>
      <rPr>
        <sz val="10"/>
        <rFont val="Noto Sans CJK SC"/>
        <family val="2"/>
      </rPr>
      <t xml:space="preserve">하고 </t>
    </r>
    <r>
      <rPr>
        <sz val="10"/>
        <rFont val="Arial"/>
        <family val="0"/>
        <charset val="1"/>
      </rPr>
      <t xml:space="preserve">auth_phone/</t>
    </r>
    <r>
      <rPr>
        <sz val="10"/>
        <rFont val="Noto Sans CJK SC"/>
        <family val="2"/>
      </rPr>
      <t xml:space="preserve">으로 라우팅 변경</t>
    </r>
    <r>
      <rPr>
        <sz val="10"/>
        <rFont val="Arial"/>
        <family val="0"/>
        <charset val="1"/>
      </rPr>
      <t xml:space="preserve">. D-09 </t>
    </r>
    <r>
      <rPr>
        <sz val="10"/>
        <rFont val="Noto Sans CJK SC"/>
        <family val="2"/>
      </rPr>
      <t xml:space="preserve">결정에 따라 병행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제거</t>
    </r>
    <r>
      <rPr>
        <sz val="10"/>
        <rFont val="Arial"/>
        <family val="0"/>
        <charset val="1"/>
      </rPr>
      <t xml:space="preserve">.</t>
    </r>
  </si>
  <si>
    <t xml:space="preserve">T-43,D-09(Decision)</t>
  </si>
  <si>
    <t xml:space="preserve">기존 사용자 정책에 맞춘 진입 흐름</t>
  </si>
  <si>
    <t xml:space="preserve">T-50</t>
  </si>
  <si>
    <t xml:space="preserve">APP-Contacts</t>
  </si>
  <si>
    <t xml:space="preserve">연락처 권한 동의 화면</t>
  </si>
  <si>
    <r>
      <rPr>
        <sz val="10"/>
        <rFont val="Arial"/>
        <family val="0"/>
        <charset val="1"/>
      </rPr>
      <t xml:space="preserve">iOS·Android </t>
    </r>
    <r>
      <rPr>
        <sz val="10"/>
        <rFont val="Noto Sans CJK SC"/>
        <family val="2"/>
      </rPr>
      <t xml:space="preserve">연락처 권한 요청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권한 거부 시 </t>
    </r>
    <r>
      <rPr>
        <sz val="10"/>
        <rFont val="Arial"/>
        <family val="0"/>
        <charset val="1"/>
      </rPr>
      <t xml:space="preserve">fallback (</t>
    </r>
    <r>
      <rPr>
        <sz val="10"/>
        <rFont val="Noto Sans CJK SC"/>
        <family val="2"/>
      </rPr>
      <t xml:space="preserve">수동 검색</t>
    </r>
    <r>
      <rPr>
        <sz val="10"/>
        <rFont val="Arial"/>
        <family val="0"/>
        <charset val="1"/>
      </rPr>
      <t xml:space="preserve">·QR).</t>
    </r>
  </si>
  <si>
    <r>
      <rPr>
        <sz val="10"/>
        <rFont val="Arial"/>
        <family val="0"/>
        <charset val="1"/>
      </rPr>
      <t xml:space="preserve">iOS·Android </t>
    </r>
    <r>
      <rPr>
        <sz val="10"/>
        <rFont val="Noto Sans CJK SC"/>
        <family val="2"/>
      </rPr>
      <t xml:space="preserve">권한 흐름 정상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거부 시 </t>
    </r>
    <r>
      <rPr>
        <sz val="10"/>
        <rFont val="Arial"/>
        <family val="0"/>
        <charset val="1"/>
      </rPr>
      <t xml:space="preserve">fallback </t>
    </r>
    <r>
      <rPr>
        <sz val="10"/>
        <rFont val="Noto Sans CJK SC"/>
        <family val="2"/>
      </rPr>
      <t xml:space="preserve">진입 가능</t>
    </r>
  </si>
  <si>
    <t xml:space="preserve">T-51</t>
  </si>
  <si>
    <t xml:space="preserve">연락처 동기화 모듈</t>
  </si>
  <si>
    <r>
      <rPr>
        <sz val="10"/>
        <rFont val="Arial"/>
        <family val="0"/>
        <charset val="1"/>
      </rPr>
      <t xml:space="preserve">contact_sync/ </t>
    </r>
    <r>
      <rPr>
        <sz val="10"/>
        <rFont val="Noto Sans CJK SC"/>
        <family val="2"/>
      </rPr>
      <t xml:space="preserve">모듈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로컬 연락처 읽기</t>
    </r>
    <r>
      <rPr>
        <sz val="10"/>
        <rFont val="Arial"/>
        <family val="0"/>
        <charset val="1"/>
      </rPr>
      <t xml:space="preserve">, SHA-256 </t>
    </r>
    <r>
      <rPr>
        <sz val="10"/>
        <rFont val="Noto Sans CJK SC"/>
        <family val="2"/>
      </rPr>
      <t xml:space="preserve">해시 생성</t>
    </r>
    <r>
      <rPr>
        <sz val="10"/>
        <rFont val="Arial"/>
        <family val="0"/>
        <charset val="1"/>
      </rPr>
      <t xml:space="preserve">, /contacts/sync </t>
    </r>
    <r>
      <rPr>
        <sz val="10"/>
        <rFont val="Noto Sans CJK SC"/>
        <family val="2"/>
      </rPr>
      <t xml:space="preserve">호출</t>
    </r>
    <r>
      <rPr>
        <sz val="10"/>
        <rFont val="Arial"/>
        <family val="0"/>
        <charset val="1"/>
      </rPr>
      <t xml:space="preserve">.</t>
    </r>
  </si>
  <si>
    <t xml:space="preserve">T-50,T-30</t>
  </si>
  <si>
    <r>
      <rPr>
        <sz val="10"/>
        <rFont val="Arial"/>
        <family val="0"/>
        <charset val="1"/>
      </rPr>
      <t xml:space="preserve">1000</t>
    </r>
    <r>
      <rPr>
        <sz val="10"/>
        <rFont val="Noto Sans CJK SC"/>
        <family val="2"/>
      </rPr>
      <t xml:space="preserve">건 동기화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초 이내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평문 전화번호 서버 미전송 확인</t>
    </r>
  </si>
  <si>
    <t xml:space="preserve">T-52</t>
  </si>
  <si>
    <t xml:space="preserve">초대 화면</t>
  </si>
  <si>
    <r>
      <rPr>
        <sz val="10"/>
        <rFont val="Noto Sans CJK SC"/>
        <family val="2"/>
      </rPr>
      <t xml:space="preserve">미가입자 리스트 표시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선택하여 </t>
    </r>
    <r>
      <rPr>
        <sz val="10"/>
        <rFont val="Arial"/>
        <family val="0"/>
        <charset val="1"/>
      </rPr>
      <t xml:space="preserve">SMS·</t>
    </r>
    <r>
      <rPr>
        <sz val="10"/>
        <rFont val="Noto Sans CJK SC"/>
        <family val="2"/>
      </rPr>
      <t xml:space="preserve">카카오 초대 발송</t>
    </r>
    <r>
      <rPr>
        <sz val="10"/>
        <rFont val="Arial"/>
        <family val="0"/>
        <charset val="1"/>
      </rPr>
      <t xml:space="preserve">.</t>
    </r>
  </si>
  <si>
    <t xml:space="preserve">T-51,T-31</t>
  </si>
  <si>
    <r>
      <rPr>
        <sz val="10"/>
        <rFont val="Noto Sans CJK SC"/>
        <family val="2"/>
      </rPr>
      <t xml:space="preserve">초대 발송 후 결과 토스트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발송 이력 표시</t>
    </r>
  </si>
  <si>
    <t xml:space="preserve">T-60</t>
  </si>
  <si>
    <t xml:space="preserve">QA/Release</t>
  </si>
  <si>
    <t xml:space="preserve">단위 테스트 보완</t>
  </si>
  <si>
    <r>
      <rPr>
        <sz val="10"/>
        <rFont val="Arial"/>
        <family val="0"/>
        <charset val="1"/>
      </rPr>
      <t xml:space="preserve">BE/APP </t>
    </r>
    <r>
      <rPr>
        <sz val="10"/>
        <rFont val="Noto Sans CJK SC"/>
        <family val="2"/>
      </rPr>
      <t xml:space="preserve">신규 코드 단위 테스트 작성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커버리지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이상</t>
    </r>
    <r>
      <rPr>
        <sz val="10"/>
        <rFont val="Arial"/>
        <family val="0"/>
        <charset val="1"/>
      </rPr>
      <t xml:space="preserve">.</t>
    </r>
  </si>
  <si>
    <t xml:space="preserve">T-23,T-30,T-44,T-52</t>
  </si>
  <si>
    <r>
      <rPr>
        <sz val="10"/>
        <rFont val="Arial"/>
        <family val="0"/>
        <charset val="1"/>
      </rPr>
      <t xml:space="preserve">JaCoCo / lcov </t>
    </r>
    <r>
      <rPr>
        <sz val="10"/>
        <rFont val="Noto Sans CJK SC"/>
        <family val="2"/>
      </rPr>
      <t xml:space="preserve">리포트 </t>
    </r>
    <r>
      <rPr>
        <sz val="10"/>
        <rFont val="Arial"/>
        <family val="0"/>
        <charset val="1"/>
      </rPr>
      <t xml:space="preserve">70% </t>
    </r>
    <r>
      <rPr>
        <sz val="10"/>
        <rFont val="Noto Sans CJK SC"/>
        <family val="2"/>
      </rPr>
      <t xml:space="preserve">이상</t>
    </r>
  </si>
  <si>
    <t xml:space="preserve">T-61</t>
  </si>
  <si>
    <t xml:space="preserve">통합 시나리오 테스트</t>
  </si>
  <si>
    <r>
      <rPr>
        <sz val="10"/>
        <rFont val="Noto Sans CJK SC"/>
        <family val="2"/>
      </rPr>
      <t xml:space="preserve">전 사용자 가입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연락처 동기화</t>
    </r>
    <r>
      <rPr>
        <sz val="10"/>
        <rFont val="Arial"/>
        <family val="0"/>
        <charset val="1"/>
      </rPr>
      <t xml:space="preserve">~</t>
    </r>
    <r>
      <rPr>
        <sz val="10"/>
        <rFont val="Noto Sans CJK SC"/>
        <family val="2"/>
      </rPr>
      <t xml:space="preserve">인증 흐름 </t>
    </r>
    <r>
      <rPr>
        <sz val="10"/>
        <rFont val="Arial"/>
        <family val="0"/>
        <charset val="1"/>
      </rPr>
      <t xml:space="preserve">E2E </t>
    </r>
    <r>
      <rPr>
        <sz val="10"/>
        <rFont val="Noto Sans CJK SC"/>
        <family val="2"/>
      </rPr>
      <t xml:space="preserve">테스트</t>
    </r>
    <r>
      <rPr>
        <sz val="10"/>
        <rFont val="Arial"/>
        <family val="0"/>
        <charset val="1"/>
      </rPr>
      <t xml:space="preserve">. iOS·Android </t>
    </r>
    <r>
      <rPr>
        <sz val="10"/>
        <rFont val="Noto Sans CJK SC"/>
        <family val="2"/>
      </rPr>
      <t xml:space="preserve">각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대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</si>
  <si>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신규 가입 </t>
    </r>
    <r>
      <rPr>
        <sz val="10"/>
        <rFont val="Arial"/>
        <family val="0"/>
        <charset val="1"/>
      </rPr>
      <t xml:space="preserve">30</t>
    </r>
    <r>
      <rPr>
        <sz val="10"/>
        <rFont val="Noto Sans CJK SC"/>
        <family val="2"/>
      </rPr>
      <t xml:space="preserve">초 이내 완료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주요 시나리오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개 통과</t>
    </r>
  </si>
  <si>
    <t xml:space="preserve">T-62</t>
  </si>
  <si>
    <t xml:space="preserve">부하 테스트</t>
  </si>
  <si>
    <r>
      <rPr>
        <sz val="10"/>
        <rFont val="Arial"/>
        <family val="0"/>
        <charset val="1"/>
      </rPr>
      <t xml:space="preserve">JMeter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/auth/request-code </t>
    </r>
    <r>
      <rPr>
        <sz val="10"/>
        <rFont val="Noto Sans CJK SC"/>
        <family val="2"/>
      </rPr>
      <t xml:space="preserve">초당 </t>
    </r>
    <r>
      <rPr>
        <sz val="10"/>
        <rFont val="Arial"/>
        <family val="0"/>
        <charset val="1"/>
      </rPr>
      <t xml:space="preserve">100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, /contacts/sync </t>
    </r>
    <r>
      <rPr>
        <sz val="10"/>
        <rFont val="Noto Sans CJK SC"/>
        <family val="2"/>
      </rPr>
      <t xml:space="preserve">동시 </t>
    </r>
    <r>
      <rPr>
        <sz val="10"/>
        <rFont val="Arial"/>
        <family val="0"/>
        <charset val="1"/>
      </rPr>
      <t xml:space="preserve">50</t>
    </r>
    <r>
      <rPr>
        <sz val="10"/>
        <rFont val="Noto Sans CJK SC"/>
        <family val="2"/>
      </rPr>
      <t xml:space="preserve">건 부하 테스트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</si>
  <si>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Rate limit </t>
    </r>
    <r>
      <rPr>
        <sz val="10"/>
        <rFont val="Noto Sans CJK SC"/>
        <family val="2"/>
      </rPr>
      <t xml:space="preserve">정상 작동</t>
    </r>
    <r>
      <rPr>
        <sz val="10"/>
        <rFont val="Arial"/>
        <family val="0"/>
        <charset val="1"/>
      </rPr>
      <t xml:space="preserve">, p95 </t>
    </r>
    <r>
      <rPr>
        <sz val="10"/>
        <rFont val="Noto Sans CJK SC"/>
        <family val="2"/>
      </rPr>
      <t xml:space="preserve">응답 시간 </t>
    </r>
    <r>
      <rPr>
        <sz val="10"/>
        <rFont val="Arial"/>
        <family val="0"/>
        <charset val="1"/>
      </rPr>
      <t xml:space="preserve">500ms </t>
    </r>
    <r>
      <rPr>
        <sz val="10"/>
        <rFont val="Noto Sans CJK SC"/>
        <family val="2"/>
      </rPr>
      <t xml:space="preserve">이내</t>
    </r>
  </si>
  <si>
    <t xml:space="preserve">T-63</t>
  </si>
  <si>
    <t xml:space="preserve">보안 점검</t>
  </si>
  <si>
    <r>
      <rPr>
        <sz val="10"/>
        <rFont val="Noto Sans CJK SC"/>
        <family val="2"/>
      </rPr>
      <t xml:space="preserve">전화번호 평문 저장 여부</t>
    </r>
    <r>
      <rPr>
        <sz val="10"/>
        <rFont val="Arial"/>
        <family val="0"/>
        <charset val="1"/>
      </rPr>
      <t xml:space="preserve">, JWT </t>
    </r>
    <r>
      <rPr>
        <sz val="10"/>
        <rFont val="Noto Sans CJK SC"/>
        <family val="2"/>
      </rPr>
      <t xml:space="preserve">시크릿 노출</t>
    </r>
    <r>
      <rPr>
        <sz val="10"/>
        <rFont val="Arial"/>
        <family val="0"/>
        <charset val="1"/>
      </rPr>
      <t xml:space="preserve">, SQL Injection, OWASP Top 10 </t>
    </r>
    <r>
      <rPr>
        <sz val="10"/>
        <rFont val="Noto Sans CJK SC"/>
        <family val="2"/>
      </rPr>
      <t xml:space="preserve">체크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</si>
  <si>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보안 체크리스트 통과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발견 이슈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건 또는 모두 </t>
    </r>
    <r>
      <rPr>
        <sz val="10"/>
        <rFont val="Arial"/>
        <family val="0"/>
        <charset val="1"/>
      </rPr>
      <t xml:space="preserve">fix</t>
    </r>
  </si>
  <si>
    <t xml:space="preserve">T-64</t>
  </si>
  <si>
    <r>
      <rPr>
        <sz val="10"/>
        <rFont val="Arial"/>
        <family val="0"/>
        <charset val="1"/>
      </rPr>
      <t xml:space="preserve">Staging </t>
    </r>
    <r>
      <rPr>
        <sz val="10"/>
        <rFont val="Noto Sans CJK SC"/>
        <family val="2"/>
      </rPr>
      <t xml:space="preserve">배포 </t>
    </r>
    <r>
      <rPr>
        <sz val="10"/>
        <rFont val="Arial"/>
        <family val="0"/>
        <charset val="1"/>
      </rPr>
      <t xml:space="preserve">&amp; UAT</t>
    </r>
  </si>
  <si>
    <r>
      <rPr>
        <sz val="10"/>
        <rFont val="Arial"/>
        <family val="0"/>
        <charset val="1"/>
      </rPr>
      <t xml:space="preserve">stg </t>
    </r>
    <r>
      <rPr>
        <sz val="10"/>
        <rFont val="Noto Sans CJK SC"/>
        <family val="2"/>
      </rPr>
      <t xml:space="preserve">환경 배포</t>
    </r>
    <r>
      <rPr>
        <sz val="10"/>
        <rFont val="Arial"/>
        <family val="0"/>
        <charset val="1"/>
      </rPr>
      <t xml:space="preserve">, PM·</t>
    </r>
    <r>
      <rPr>
        <sz val="10"/>
        <rFont val="Noto Sans CJK SC"/>
        <family val="2"/>
      </rPr>
      <t xml:space="preserve">디자인 </t>
    </r>
    <r>
      <rPr>
        <sz val="10"/>
        <rFont val="Arial"/>
        <family val="0"/>
        <charset val="1"/>
      </rPr>
      <t xml:space="preserve">UAT, </t>
    </r>
    <r>
      <rPr>
        <sz val="10"/>
        <rFont val="Noto Sans CJK SC"/>
        <family val="2"/>
      </rPr>
      <t xml:space="preserve">회귀 테스트</t>
    </r>
    <r>
      <rPr>
        <sz val="10"/>
        <rFont val="Arial"/>
        <family val="0"/>
        <charset val="1"/>
      </rPr>
      <t xml:space="preserve">.</t>
    </r>
  </si>
  <si>
    <r>
      <rPr>
        <sz val="10"/>
        <rFont val="Arial"/>
        <family val="0"/>
        <charset val="1"/>
      </rPr>
      <t xml:space="preserve">UAT </t>
    </r>
    <r>
      <rPr>
        <sz val="10"/>
        <rFont val="Noto Sans CJK SC"/>
        <family val="2"/>
      </rPr>
      <t xml:space="preserve">통과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회귀 이슈 없음</t>
    </r>
  </si>
  <si>
    <t xml:space="preserve">T-65</t>
  </si>
  <si>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릴리즈 준비</t>
    </r>
  </si>
  <si>
    <r>
      <rPr>
        <sz val="10"/>
        <rFont val="Noto Sans CJK SC"/>
        <family val="2"/>
      </rPr>
      <t xml:space="preserve">마이그레이션 </t>
    </r>
    <r>
      <rPr>
        <sz val="10"/>
        <rFont val="Arial"/>
        <family val="0"/>
        <charset val="1"/>
      </rPr>
      <t xml:space="preserve">dry-run, </t>
    </r>
    <r>
      <rPr>
        <sz val="10"/>
        <rFont val="Noto Sans CJK SC"/>
        <family val="2"/>
      </rPr>
      <t xml:space="preserve">롤백 절차 문서화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모니터링 대시보드 </t>
    </r>
    <r>
      <rPr>
        <sz val="10"/>
        <rFont val="Arial"/>
        <family val="0"/>
        <charset val="1"/>
      </rPr>
      <t xml:space="preserve">(SMS </t>
    </r>
    <r>
      <rPr>
        <sz val="10"/>
        <rFont val="Noto Sans CJK SC"/>
        <family val="2"/>
      </rPr>
      <t xml:space="preserve">발송량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가입 전환율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구성</t>
    </r>
    <r>
      <rPr>
        <sz val="10"/>
        <rFont val="Arial"/>
        <family val="0"/>
        <charset val="1"/>
      </rPr>
      <t xml:space="preserve">.</t>
    </r>
  </si>
  <si>
    <r>
      <rPr>
        <sz val="10"/>
        <rFont val="Noto Sans CJK SC"/>
        <family val="2"/>
      </rPr>
      <t xml:space="preserve">롤백 시뮬레이션 성공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대시보드 메트릭 노출</t>
    </r>
  </si>
  <si>
    <t xml:space="preserve">MD</t>
  </si>
  <si>
    <t xml:space="preserve">주차별 작업 분포</t>
  </si>
  <si>
    <t xml:space="preserve">Week 1 (MD)</t>
  </si>
  <si>
    <t xml:space="preserve">Week 2 (MD)</t>
  </si>
  <si>
    <t xml:space="preserve">Week 3 (MD)</t>
  </si>
  <si>
    <t xml:space="preserve">Week 4 (MD)</t>
  </si>
  <si>
    <r>
      <rPr>
        <b val="true"/>
        <sz val="11"/>
        <color rgb="FFFFFFFF"/>
        <rFont val="Noto Sans CJK SC"/>
        <family val="2"/>
      </rPr>
      <t xml:space="preserve">합계 </t>
    </r>
    <r>
      <rPr>
        <b val="true"/>
        <sz val="11"/>
        <color rgb="FFFFFFFF"/>
        <rFont val="Arial"/>
        <family val="0"/>
        <charset val="1"/>
      </rPr>
      <t xml:space="preserve">(MD)</t>
    </r>
  </si>
  <si>
    <t xml:space="preserve">주차 합계</t>
  </si>
  <si>
    <r>
      <rPr>
        <b val="true"/>
        <sz val="18"/>
        <color rgb="FF1E2761"/>
        <rFont val="Arial"/>
        <family val="0"/>
        <charset val="1"/>
      </rPr>
      <t xml:space="preserve">Sprint 1 </t>
    </r>
    <r>
      <rPr>
        <b val="true"/>
        <sz val="18"/>
        <color rgb="FF1E2761"/>
        <rFont val="Noto Sans CJK SC"/>
        <family val="2"/>
      </rPr>
      <t xml:space="preserve">리스크 및 의존성</t>
    </r>
  </si>
  <si>
    <r>
      <rPr>
        <b val="true"/>
        <sz val="11"/>
        <color rgb="FFFFFFFF"/>
        <rFont val="Noto Sans CJK SC"/>
        <family val="2"/>
      </rPr>
      <t xml:space="preserve">리스크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의존성</t>
    </r>
  </si>
  <si>
    <t xml:space="preserve">유형</t>
  </si>
  <si>
    <t xml:space="preserve">영향</t>
  </si>
  <si>
    <t xml:space="preserve">완화 방안</t>
  </si>
  <si>
    <t xml:space="preserve">R-01</t>
  </si>
  <si>
    <r>
      <rPr>
        <sz val="10"/>
        <rFont val="Arial"/>
        <family val="0"/>
        <charset val="1"/>
      </rPr>
      <t xml:space="preserve">SMS </t>
    </r>
    <r>
      <rPr>
        <sz val="10"/>
        <rFont val="Noto Sans CJK SC"/>
        <family val="2"/>
      </rPr>
      <t xml:space="preserve">게이트웨이 벤더 미확정 </t>
    </r>
    <r>
      <rPr>
        <sz val="10"/>
        <rFont val="Arial"/>
        <family val="0"/>
        <charset val="1"/>
      </rPr>
      <t xml:space="preserve">(D-10)</t>
    </r>
  </si>
  <si>
    <t xml:space="preserve">Blocker</t>
  </si>
  <si>
    <r>
      <rPr>
        <sz val="10"/>
        <rFont val="Arial"/>
        <family val="0"/>
        <charset val="1"/>
      </rPr>
      <t xml:space="preserve">T-11, T-22 </t>
    </r>
    <r>
      <rPr>
        <sz val="10"/>
        <rFont val="Noto Sans CJK SC"/>
        <family val="2"/>
      </rPr>
      <t xml:space="preserve">시작 불가</t>
    </r>
  </si>
  <si>
    <r>
      <rPr>
        <sz val="10"/>
        <rFont val="Arial"/>
        <family val="0"/>
        <charset val="1"/>
      </rPr>
      <t xml:space="preserve">Sprint 0 </t>
    </r>
    <r>
      <rPr>
        <sz val="10"/>
        <rFont val="Noto Sans CJK SC"/>
        <family val="2"/>
      </rPr>
      <t xml:space="preserve">단계에서 의사결정 완료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백업 벤더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곳 추가 선정</t>
    </r>
    <r>
      <rPr>
        <sz val="10"/>
        <rFont val="Arial"/>
        <family val="0"/>
        <charset val="1"/>
      </rPr>
      <t xml:space="preserve">.</t>
    </r>
  </si>
  <si>
    <t xml:space="preserve">R-02</t>
  </si>
  <si>
    <r>
      <rPr>
        <sz val="10"/>
        <rFont val="Noto Sans CJK SC"/>
        <family val="2"/>
      </rPr>
      <t xml:space="preserve">기존 사용자 마이그레이션 정책 미확정 </t>
    </r>
    <r>
      <rPr>
        <sz val="10"/>
        <rFont val="Arial"/>
        <family val="0"/>
        <charset val="1"/>
      </rPr>
      <t xml:space="preserve">(D-09)</t>
    </r>
  </si>
  <si>
    <r>
      <rPr>
        <sz val="10"/>
        <rFont val="Arial"/>
        <family val="0"/>
        <charset val="1"/>
      </rPr>
      <t xml:space="preserve">T-24, T-44 </t>
    </r>
    <r>
      <rPr>
        <sz val="10"/>
        <rFont val="Noto Sans CJK SC"/>
        <family val="2"/>
      </rPr>
      <t xml:space="preserve">영향</t>
    </r>
  </si>
  <si>
    <r>
      <rPr>
        <sz val="10"/>
        <rFont val="Arial"/>
        <family val="0"/>
        <charset val="1"/>
      </rPr>
      <t xml:space="preserve">Sprint 0 </t>
    </r>
    <r>
      <rPr>
        <sz val="10"/>
        <rFont val="Noto Sans CJK SC"/>
        <family val="2"/>
      </rPr>
      <t xml:space="preserve">의사결정 회의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차 항목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강제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유예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병행 중 결정</t>
    </r>
    <r>
      <rPr>
        <sz val="10"/>
        <rFont val="Arial"/>
        <family val="0"/>
        <charset val="1"/>
      </rPr>
      <t xml:space="preserve">.</t>
    </r>
  </si>
  <si>
    <t xml:space="preserve">R-03</t>
  </si>
  <si>
    <r>
      <rPr>
        <sz val="10"/>
        <rFont val="Noto Sans CJK SC"/>
        <family val="2"/>
      </rPr>
      <t xml:space="preserve">미인증 채팅 한도 수치 미확정 </t>
    </r>
    <r>
      <rPr>
        <sz val="10"/>
        <rFont val="Arial"/>
        <family val="0"/>
        <charset val="1"/>
      </rPr>
      <t xml:space="preserve">(D-04)</t>
    </r>
  </si>
  <si>
    <t xml:space="preserve">Decision</t>
  </si>
  <si>
    <r>
      <rPr>
        <sz val="10"/>
        <rFont val="Arial"/>
        <family val="0"/>
        <charset val="1"/>
      </rPr>
      <t xml:space="preserve">T-32 </t>
    </r>
    <r>
      <rPr>
        <sz val="10"/>
        <rFont val="Noto Sans CJK SC"/>
        <family val="2"/>
      </rPr>
      <t xml:space="preserve">영향 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구현 후 변경 가능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</si>
  <si>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초기값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건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일로 구현</t>
    </r>
    <r>
      <rPr>
        <sz val="10"/>
        <rFont val="Arial"/>
        <family val="0"/>
        <charset val="1"/>
      </rPr>
      <t xml:space="preserve">, A/B </t>
    </r>
    <r>
      <rPr>
        <sz val="10"/>
        <rFont val="Noto Sans CJK SC"/>
        <family val="2"/>
      </rPr>
      <t xml:space="preserve">테스트로 조정</t>
    </r>
    <r>
      <rPr>
        <sz val="10"/>
        <rFont val="Arial"/>
        <family val="0"/>
        <charset val="1"/>
      </rPr>
      <t xml:space="preserve">.</t>
    </r>
  </si>
  <si>
    <t xml:space="preserve">R-04</t>
  </si>
  <si>
    <r>
      <rPr>
        <sz val="10"/>
        <rFont val="Arial"/>
        <family val="0"/>
        <charset val="1"/>
      </rPr>
      <t xml:space="preserve">iOS SMS </t>
    </r>
    <r>
      <rPr>
        <sz val="10"/>
        <rFont val="Noto Sans CJK SC"/>
        <family val="2"/>
      </rPr>
      <t xml:space="preserve">자동 채움 권한</t>
    </r>
  </si>
  <si>
    <t xml:space="preserve">Technical</t>
  </si>
  <si>
    <r>
      <rPr>
        <sz val="10"/>
        <rFont val="Arial"/>
        <family val="0"/>
        <charset val="1"/>
      </rPr>
      <t xml:space="preserve">T-42 UX </t>
    </r>
    <r>
      <rPr>
        <sz val="10"/>
        <rFont val="Noto Sans CJK SC"/>
        <family val="2"/>
      </rPr>
      <t xml:space="preserve">저하 가능</t>
    </r>
  </si>
  <si>
    <r>
      <rPr>
        <sz val="10"/>
        <rFont val="Arial"/>
        <family val="0"/>
        <charset val="1"/>
      </rPr>
      <t xml:space="preserve">Apple </t>
    </r>
    <r>
      <rPr>
        <sz val="10"/>
        <rFont val="Noto Sans CJK SC"/>
        <family val="2"/>
      </rPr>
      <t xml:space="preserve">권장 도메인 바인딩 메시지 형식 사용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수동 입력 </t>
    </r>
    <r>
      <rPr>
        <sz val="10"/>
        <rFont val="Arial"/>
        <family val="0"/>
        <charset val="1"/>
      </rPr>
      <t xml:space="preserve">fallback.</t>
    </r>
  </si>
  <si>
    <t xml:space="preserve">R-05</t>
  </si>
  <si>
    <r>
      <rPr>
        <sz val="10"/>
        <rFont val="Arial"/>
        <family val="0"/>
        <charset val="1"/>
      </rPr>
      <t xml:space="preserve">KISA </t>
    </r>
    <r>
      <rPr>
        <sz val="10"/>
        <rFont val="Noto Sans CJK SC"/>
        <family val="2"/>
      </rPr>
      <t xml:space="preserve">발신번호 사전등록 지연</t>
    </r>
  </si>
  <si>
    <t xml:space="preserve">Process</t>
  </si>
  <si>
    <r>
      <rPr>
        <sz val="10"/>
        <rFont val="Arial"/>
        <family val="0"/>
        <charset val="1"/>
      </rPr>
      <t xml:space="preserve">T-11 </t>
    </r>
    <r>
      <rPr>
        <sz val="10"/>
        <rFont val="Noto Sans CJK SC"/>
        <family val="2"/>
      </rPr>
      <t xml:space="preserve">일정 </t>
    </r>
    <r>
      <rPr>
        <sz val="10"/>
        <rFont val="Arial"/>
        <family val="0"/>
        <charset val="1"/>
      </rPr>
      <t xml:space="preserve">1~2</t>
    </r>
    <r>
      <rPr>
        <sz val="10"/>
        <rFont val="Noto Sans CJK SC"/>
        <family val="2"/>
      </rPr>
      <t xml:space="preserve">주 지연 가능</t>
    </r>
  </si>
  <si>
    <r>
      <rPr>
        <sz val="10"/>
        <rFont val="Arial"/>
        <family val="0"/>
        <charset val="1"/>
      </rPr>
      <t xml:space="preserve">Sprint 0 </t>
    </r>
    <r>
      <rPr>
        <sz val="10"/>
        <rFont val="Noto Sans CJK SC"/>
        <family val="2"/>
      </rPr>
      <t xml:space="preserve">동시 진행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등록 절차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영업일 소요 가정</t>
    </r>
    <r>
      <rPr>
        <sz val="10"/>
        <rFont val="Arial"/>
        <family val="0"/>
        <charset val="1"/>
      </rPr>
      <t xml:space="preserve">.</t>
    </r>
  </si>
  <si>
    <t xml:space="preserve">R-06</t>
  </si>
  <si>
    <r>
      <rPr>
        <sz val="10"/>
        <rFont val="Arial"/>
        <family val="0"/>
        <charset val="1"/>
      </rPr>
      <t xml:space="preserve">Android 13+ </t>
    </r>
    <r>
      <rPr>
        <sz val="10"/>
        <rFont val="Noto Sans CJK SC"/>
        <family val="2"/>
      </rPr>
      <t xml:space="preserve">알림 권한 변경</t>
    </r>
  </si>
  <si>
    <t xml:space="preserve">푸시 알림 권한 거부 시 가입 흐름 영향</t>
  </si>
  <si>
    <r>
      <rPr>
        <sz val="10"/>
        <rFont val="Noto Sans CJK SC"/>
        <family val="2"/>
      </rPr>
      <t xml:space="preserve">권한 거부 시에도 가입 진행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푸시 없이 인앱 알림 </t>
    </r>
    <r>
      <rPr>
        <sz val="10"/>
        <rFont val="Arial"/>
        <family val="0"/>
        <charset val="1"/>
      </rPr>
      <t xml:space="preserve">fallback.</t>
    </r>
  </si>
  <si>
    <t xml:space="preserve">R-07</t>
  </si>
  <si>
    <t xml:space="preserve">기존 코드베이스 의존성 충돌</t>
  </si>
  <si>
    <t xml:space="preserve">기존 라이브러리 버전과 신규 추가 의존성 충돌 가능</t>
  </si>
  <si>
    <r>
      <rPr>
        <sz val="10"/>
        <rFont val="Arial"/>
        <family val="0"/>
        <charset val="1"/>
      </rPr>
      <t xml:space="preserve">Sprint 0</t>
    </r>
    <r>
      <rPr>
        <sz val="10"/>
        <rFont val="Noto Sans CJK SC"/>
        <family val="2"/>
      </rPr>
      <t xml:space="preserve">에서 의존성 호환성 사전 검증</t>
    </r>
    <r>
      <rPr>
        <sz val="10"/>
        <rFont val="Arial"/>
        <family val="0"/>
        <charset val="1"/>
      </rPr>
      <t xml:space="preserve">.</t>
    </r>
  </si>
  <si>
    <t xml:space="preserve">R-08</t>
  </si>
  <si>
    <r>
      <rPr>
        <sz val="10"/>
        <rFont val="Arial"/>
        <family val="0"/>
        <charset val="1"/>
      </rPr>
      <t xml:space="preserve">DB </t>
    </r>
    <r>
      <rPr>
        <sz val="10"/>
        <rFont val="Noto Sans CJK SC"/>
        <family val="2"/>
      </rPr>
      <t xml:space="preserve">마이그레이션 실패</t>
    </r>
  </si>
  <si>
    <t xml:space="preserve">Operational</t>
  </si>
  <si>
    <t xml:space="preserve">스키마 변경 시 운영 영향</t>
  </si>
  <si>
    <r>
      <rPr>
        <sz val="10"/>
        <rFont val="Arial"/>
        <family val="0"/>
        <charset val="1"/>
      </rPr>
      <t xml:space="preserve">Maintenance window</t>
    </r>
    <r>
      <rPr>
        <sz val="10"/>
        <rFont val="Noto Sans CJK SC"/>
        <family val="2"/>
      </rPr>
      <t xml:space="preserve">에 실행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백업 사전 확보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롤백 스크립트 준비</t>
    </r>
    <r>
      <rPr>
        <sz val="1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</si>
</sst>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E2761"/>
      <name val="Arial"/>
      <family val="0"/>
      <charset val="1"/>
    </font>
    <font>
      <b val="true"/>
      <sz val="18"/>
      <color rgb="FF1E2761"/>
      <name val="Noto Sans CJK SC"/>
      <family val="2"/>
    </font>
    <font>
      <i val="true"/>
      <sz val="11"/>
      <color rgb="FF595959"/>
      <name val="Noto Sans CJK SC"/>
      <family val="2"/>
    </font>
    <font>
      <i val="true"/>
      <sz val="11"/>
      <color rgb="FF595959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b val="true"/>
      <sz val="11"/>
      <color rgb="FF1E2761"/>
      <name val="Noto Sans CJK SC"/>
      <family val="2"/>
    </font>
    <font>
      <b val="true"/>
      <sz val="11"/>
      <color rgb="FF1E2761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</fonts>
  <fills count="13">
    <fill>
      <patternFill patternType="none"/>
    </fill>
    <fill>
      <patternFill patternType="gray125"/>
    </fill>
    <fill>
      <patternFill patternType="solid">
        <fgColor rgb="FFCADCFC"/>
        <bgColor rgb="FFD9E1F2"/>
      </patternFill>
    </fill>
    <fill>
      <patternFill patternType="solid">
        <fgColor rgb="FFFFE699"/>
        <bgColor rgb="FFFFEB9C"/>
      </patternFill>
    </fill>
    <fill>
      <patternFill patternType="solid">
        <fgColor rgb="FF1E2761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DEEBF7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9E1F2"/>
        <bgColor rgb="FFDEEBF7"/>
      </patternFill>
    </fill>
    <fill>
      <patternFill patternType="solid">
        <fgColor rgb="FFF4CCCC"/>
        <bgColor rgb="FFFFC7CE"/>
      </patternFill>
    </fill>
    <fill>
      <patternFill patternType="solid">
        <fgColor rgb="FFFFC7CE"/>
        <bgColor rgb="FFF4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EEBF7"/>
      <rgbColor rgb="FF660066"/>
      <rgbColor rgb="FFFF8080"/>
      <rgbColor rgb="FF0066CC"/>
      <rgbColor rgb="FFCADC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D9E1F2"/>
      <rgbColor rgb="FFFFC7CE"/>
      <rgbColor rgb="FFFCE4D6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14"/>
  </cols>
  <sheetData>
    <row r="1" customFormat="false" ht="27.6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7.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</row>
    <row r="5" customFormat="false" ht="17.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n">
        <f aca="false">COUNTIF(WBS!E:E,"BE")</f>
        <v>9</v>
      </c>
      <c r="C6" s="6" t="n">
        <f aca="false">SUMIF(WBS!E:E,"BE",WBS!G:G)</f>
        <v>18</v>
      </c>
      <c r="D6" s="6" t="n">
        <v>20</v>
      </c>
      <c r="E6" s="6" t="n">
        <f aca="false">IF(D6=0,0,CEILING(C6/D6,0.5))</f>
        <v>1</v>
      </c>
    </row>
    <row r="7" customFormat="false" ht="15" hidden="false" customHeight="false" outlineLevel="0" collapsed="false">
      <c r="A7" s="5" t="s">
        <v>9</v>
      </c>
      <c r="B7" s="6" t="n">
        <f aca="false">COUNTIF(WBS!E:E,"APP")</f>
        <v>8</v>
      </c>
      <c r="C7" s="6" t="n">
        <f aca="false">SUMIF(WBS!E:E,"APP",WBS!G:G)</f>
        <v>17.5</v>
      </c>
      <c r="D7" s="6" t="n">
        <v>20</v>
      </c>
      <c r="E7" s="6" t="n">
        <f aca="false">IF(D7=0,0,CEILING(C7/D7,0.5))</f>
        <v>1</v>
      </c>
    </row>
    <row r="8" customFormat="false" ht="15" hidden="false" customHeight="false" outlineLevel="0" collapsed="false">
      <c r="A8" s="5" t="s">
        <v>10</v>
      </c>
      <c r="B8" s="6" t="n">
        <f aca="false">COUNTIF(WBS!E:E,"INFRA")</f>
        <v>4</v>
      </c>
      <c r="C8" s="6" t="n">
        <f aca="false">SUMIF(WBS!E:E,"INFRA",WBS!G:G)</f>
        <v>7.5</v>
      </c>
      <c r="D8" s="6" t="n">
        <v>20</v>
      </c>
      <c r="E8" s="6" t="n">
        <f aca="false">IF(D8=0,0,CEILING(C8/D8,0.5))</f>
        <v>0.5</v>
      </c>
    </row>
    <row r="9" customFormat="false" ht="15" hidden="false" customHeight="false" outlineLevel="0" collapsed="false">
      <c r="A9" s="5" t="s">
        <v>11</v>
      </c>
      <c r="B9" s="6" t="n">
        <f aca="false">COUNTIF(WBS!E:E,"QA")</f>
        <v>4</v>
      </c>
      <c r="C9" s="6" t="n">
        <f aca="false">SUMIF(WBS!E:E,"QA",WBS!G:G)</f>
        <v>9.5</v>
      </c>
      <c r="D9" s="6" t="n">
        <v>20</v>
      </c>
      <c r="E9" s="6" t="n">
        <f aca="false">IF(D9=0,0,CEILING(C9/D9,0.5))</f>
        <v>0.5</v>
      </c>
    </row>
    <row r="10" customFormat="false" ht="15" hidden="false" customHeight="false" outlineLevel="0" collapsed="false">
      <c r="A10" s="5" t="s">
        <v>12</v>
      </c>
      <c r="B10" s="6" t="n">
        <f aca="false">COUNTIF(WBS!E:E,"DESIGN")</f>
        <v>1</v>
      </c>
      <c r="C10" s="6" t="n">
        <f aca="false">SUMIF(WBS!E:E,"DESIGN",WBS!G:G)</f>
        <v>3</v>
      </c>
      <c r="D10" s="6" t="n">
        <v>20</v>
      </c>
      <c r="E10" s="6" t="n">
        <f aca="false">IF(D10=0,0,CEILING(C10/D10,0.5))</f>
        <v>0.5</v>
      </c>
    </row>
    <row r="11" customFormat="false" ht="15" hidden="false" customHeight="false" outlineLevel="0" collapsed="false">
      <c r="A11" s="5" t="s">
        <v>13</v>
      </c>
      <c r="B11" s="6" t="n">
        <f aca="false">COUNTIF(WBS!E:E,"PM")</f>
        <v>3</v>
      </c>
      <c r="C11" s="6" t="n">
        <f aca="false">SUMIF(WBS!E:E,"PM",WBS!G:G)</f>
        <v>5</v>
      </c>
      <c r="D11" s="6" t="n">
        <v>20</v>
      </c>
      <c r="E11" s="6" t="n">
        <f aca="false">IF(D11=0,0,CEILING(C11/D11,0.5))</f>
        <v>0.5</v>
      </c>
    </row>
    <row r="12" customFormat="false" ht="15" hidden="false" customHeight="false" outlineLevel="0" collapsed="false">
      <c r="A12" s="7" t="s">
        <v>14</v>
      </c>
      <c r="B12" s="8" t="n">
        <f aca="false">SUM(B6:B11)</f>
        <v>29</v>
      </c>
      <c r="C12" s="8" t="n">
        <f aca="false">SUM(C6:C11)</f>
        <v>60.5</v>
      </c>
      <c r="D12" s="8"/>
      <c r="E12" s="8" t="n">
        <f aca="false">SUM(E6:E11)</f>
        <v>4</v>
      </c>
    </row>
    <row r="15" customFormat="false" ht="15" hidden="false" customHeight="true" outlineLevel="0" collapsed="false">
      <c r="A15" s="3" t="s">
        <v>15</v>
      </c>
      <c r="B15" s="3"/>
      <c r="C15" s="3"/>
      <c r="D15" s="3"/>
      <c r="E15" s="3"/>
    </row>
    <row r="16" customFormat="false" ht="15" hidden="false" customHeight="false" outlineLevel="0" collapsed="false">
      <c r="A16" s="9" t="s">
        <v>16</v>
      </c>
      <c r="B16" s="9" t="n">
        <f aca="false">COUNTIF(WBS!I:I,"Not Started")</f>
        <v>28</v>
      </c>
    </row>
    <row r="17" customFormat="false" ht="15" hidden="false" customHeight="false" outlineLevel="0" collapsed="false">
      <c r="A17" s="9" t="s">
        <v>17</v>
      </c>
      <c r="B17" s="9" t="n">
        <f aca="false">COUNTIF(WBS!I:I,"In Progress")</f>
        <v>0</v>
      </c>
    </row>
    <row r="18" customFormat="false" ht="15" hidden="false" customHeight="false" outlineLevel="0" collapsed="false">
      <c r="A18" s="9" t="s">
        <v>18</v>
      </c>
      <c r="B18" s="9" t="n">
        <f aca="false">COUNTIF(WBS!I:I,"Blocked")</f>
        <v>1</v>
      </c>
    </row>
    <row r="19" customFormat="false" ht="15" hidden="false" customHeight="false" outlineLevel="0" collapsed="false">
      <c r="A19" s="9" t="s">
        <v>19</v>
      </c>
      <c r="B19" s="9" t="n">
        <f aca="false">COUNTIF(WBS!I:I,"Done")</f>
        <v>0</v>
      </c>
    </row>
    <row r="20" customFormat="false" ht="15" hidden="false" customHeight="false" outlineLevel="0" collapsed="false">
      <c r="A20" s="10" t="s">
        <v>20</v>
      </c>
      <c r="B20" s="11" t="n">
        <f aca="false">IFERROR(COUNTIF(WBS!I:I,"Done")/(COUNTA(WBS!A:A)-1),0)</f>
        <v>0</v>
      </c>
    </row>
    <row r="23" customFormat="false" ht="15" hidden="false" customHeight="true" outlineLevel="0" collapsed="false">
      <c r="A23" s="3" t="s">
        <v>21</v>
      </c>
      <c r="B23" s="3"/>
      <c r="C23" s="3"/>
      <c r="D23" s="3"/>
      <c r="E23" s="3"/>
    </row>
    <row r="24" customFormat="false" ht="15" hidden="false" customHeight="true" outlineLevel="0" collapsed="false">
      <c r="A24" s="12" t="s">
        <v>22</v>
      </c>
      <c r="B24" s="12"/>
      <c r="C24" s="12"/>
      <c r="D24" s="12"/>
      <c r="E24" s="12"/>
    </row>
    <row r="25" customFormat="false" ht="15" hidden="false" customHeight="true" outlineLevel="0" collapsed="false">
      <c r="A25" s="12" t="s">
        <v>23</v>
      </c>
      <c r="B25" s="12"/>
      <c r="C25" s="12"/>
      <c r="D25" s="12"/>
      <c r="E25" s="12"/>
    </row>
    <row r="26" customFormat="false" ht="15" hidden="false" customHeight="true" outlineLevel="0" collapsed="false">
      <c r="A26" s="12" t="s">
        <v>24</v>
      </c>
      <c r="B26" s="12"/>
      <c r="C26" s="12"/>
      <c r="D26" s="12"/>
      <c r="E26" s="12"/>
    </row>
    <row r="27" customFormat="false" ht="15" hidden="false" customHeight="true" outlineLevel="0" collapsed="false">
      <c r="A27" s="12" t="s">
        <v>25</v>
      </c>
      <c r="B27" s="12"/>
      <c r="C27" s="12"/>
      <c r="D27" s="12"/>
      <c r="E27" s="12"/>
    </row>
    <row r="28" customFormat="false" ht="15" hidden="false" customHeight="true" outlineLevel="0" collapsed="false">
      <c r="A28" s="12" t="s">
        <v>26</v>
      </c>
      <c r="B28" s="12"/>
      <c r="C28" s="12"/>
      <c r="D28" s="12"/>
      <c r="E28" s="12"/>
    </row>
    <row r="29" customFormat="false" ht="15" hidden="false" customHeight="true" outlineLevel="0" collapsed="false">
      <c r="A29" s="13" t="s">
        <v>27</v>
      </c>
      <c r="B29" s="13"/>
      <c r="C29" s="13"/>
      <c r="D29" s="13"/>
      <c r="E29" s="13"/>
    </row>
    <row r="30" customFormat="false" ht="15" hidden="false" customHeight="true" outlineLevel="0" collapsed="false">
      <c r="A30" s="13" t="s">
        <v>28</v>
      </c>
      <c r="B30" s="13"/>
      <c r="C30" s="13"/>
      <c r="D30" s="13"/>
      <c r="E30" s="13"/>
    </row>
  </sheetData>
  <mergeCells count="12">
    <mergeCell ref="A1:F1"/>
    <mergeCell ref="A2:F2"/>
    <mergeCell ref="A4:E4"/>
    <mergeCell ref="A15:E15"/>
    <mergeCell ref="A23:E23"/>
    <mergeCell ref="A24:E24"/>
    <mergeCell ref="A25:E25"/>
    <mergeCell ref="A26:E26"/>
    <mergeCell ref="A27:E27"/>
    <mergeCell ref="A28:E28"/>
    <mergeCell ref="A29:E29"/>
    <mergeCell ref="A30:E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45"/>
    <col collapsed="false" customWidth="true" hidden="false" outlineLevel="0" max="5" min="5" style="0" width="8"/>
    <col collapsed="false" customWidth="true" hidden="false" outlineLevel="0" max="6" min="6" style="0" width="7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40"/>
  </cols>
  <sheetData>
    <row r="1" customFormat="false" ht="31.5" hidden="false" customHeight="true" outlineLevel="0" collapsed="false">
      <c r="A1" s="14" t="s">
        <v>29</v>
      </c>
      <c r="B1" s="14" t="s">
        <v>30</v>
      </c>
      <c r="C1" s="15" t="s">
        <v>31</v>
      </c>
      <c r="D1" s="15" t="s">
        <v>32</v>
      </c>
      <c r="E1" s="14" t="s">
        <v>33</v>
      </c>
      <c r="F1" s="14" t="s">
        <v>34</v>
      </c>
      <c r="G1" s="15" t="s">
        <v>35</v>
      </c>
      <c r="H1" s="15" t="s">
        <v>36</v>
      </c>
      <c r="I1" s="14" t="s">
        <v>37</v>
      </c>
      <c r="J1" s="15" t="s">
        <v>38</v>
      </c>
      <c r="K1" s="14" t="s">
        <v>39</v>
      </c>
    </row>
    <row r="2" customFormat="false" ht="60" hidden="false" customHeight="true" outlineLevel="0" collapsed="false">
      <c r="A2" s="6" t="s">
        <v>40</v>
      </c>
      <c r="B2" s="16" t="s">
        <v>41</v>
      </c>
      <c r="C2" s="5" t="s">
        <v>42</v>
      </c>
      <c r="D2" s="5" t="s">
        <v>43</v>
      </c>
      <c r="E2" s="17" t="s">
        <v>44</v>
      </c>
      <c r="F2" s="17" t="n">
        <v>1</v>
      </c>
      <c r="G2" s="6" t="n">
        <v>2</v>
      </c>
      <c r="H2" s="5"/>
      <c r="I2" s="5" t="s">
        <v>16</v>
      </c>
      <c r="J2" s="5"/>
      <c r="K2" s="5" t="s">
        <v>45</v>
      </c>
    </row>
    <row r="3" customFormat="false" ht="60" hidden="false" customHeight="true" outlineLevel="0" collapsed="false">
      <c r="A3" s="6" t="s">
        <v>46</v>
      </c>
      <c r="B3" s="16" t="s">
        <v>41</v>
      </c>
      <c r="C3" s="5" t="s">
        <v>47</v>
      </c>
      <c r="D3" s="18" t="s">
        <v>48</v>
      </c>
      <c r="E3" s="17" t="s">
        <v>49</v>
      </c>
      <c r="F3" s="17" t="n">
        <v>1</v>
      </c>
      <c r="G3" s="6" t="n">
        <v>3</v>
      </c>
      <c r="H3" s="5"/>
      <c r="I3" s="5" t="s">
        <v>16</v>
      </c>
      <c r="J3" s="5"/>
      <c r="K3" s="5" t="s">
        <v>50</v>
      </c>
    </row>
    <row r="4" customFormat="false" ht="60" hidden="false" customHeight="true" outlineLevel="0" collapsed="false">
      <c r="A4" s="6" t="s">
        <v>51</v>
      </c>
      <c r="B4" s="16" t="s">
        <v>41</v>
      </c>
      <c r="C4" s="5" t="s">
        <v>52</v>
      </c>
      <c r="D4" s="5" t="s">
        <v>53</v>
      </c>
      <c r="E4" s="17" t="s">
        <v>44</v>
      </c>
      <c r="F4" s="17" t="n">
        <v>1</v>
      </c>
      <c r="G4" s="6" t="n">
        <v>1</v>
      </c>
      <c r="H4" s="5" t="s">
        <v>40</v>
      </c>
      <c r="I4" s="5" t="s">
        <v>16</v>
      </c>
      <c r="J4" s="5"/>
      <c r="K4" s="5" t="s">
        <v>54</v>
      </c>
    </row>
    <row r="5" customFormat="false" ht="60" hidden="false" customHeight="true" outlineLevel="0" collapsed="false">
      <c r="A5" s="6" t="s">
        <v>55</v>
      </c>
      <c r="B5" s="19" t="s">
        <v>56</v>
      </c>
      <c r="C5" s="5" t="s">
        <v>57</v>
      </c>
      <c r="D5" s="5" t="s">
        <v>58</v>
      </c>
      <c r="E5" s="17" t="s">
        <v>59</v>
      </c>
      <c r="F5" s="17" t="n">
        <v>1</v>
      </c>
      <c r="G5" s="6" t="n">
        <v>1.5</v>
      </c>
      <c r="H5" s="5" t="s">
        <v>40</v>
      </c>
      <c r="I5" s="5" t="s">
        <v>16</v>
      </c>
      <c r="J5" s="5"/>
      <c r="K5" s="18" t="s">
        <v>60</v>
      </c>
    </row>
    <row r="6" customFormat="false" ht="60" hidden="false" customHeight="true" outlineLevel="0" collapsed="false">
      <c r="A6" s="6" t="s">
        <v>61</v>
      </c>
      <c r="B6" s="19" t="s">
        <v>56</v>
      </c>
      <c r="C6" s="5" t="s">
        <v>62</v>
      </c>
      <c r="D6" s="18" t="s">
        <v>63</v>
      </c>
      <c r="E6" s="17" t="s">
        <v>59</v>
      </c>
      <c r="F6" s="17" t="n">
        <v>1</v>
      </c>
      <c r="G6" s="6" t="n">
        <v>2</v>
      </c>
      <c r="H6" s="5" t="s">
        <v>64</v>
      </c>
      <c r="I6" s="5" t="s">
        <v>18</v>
      </c>
      <c r="J6" s="5"/>
      <c r="K6" s="5" t="s">
        <v>65</v>
      </c>
    </row>
    <row r="7" customFormat="false" ht="60" hidden="false" customHeight="true" outlineLevel="0" collapsed="false">
      <c r="A7" s="6" t="s">
        <v>66</v>
      </c>
      <c r="B7" s="19" t="s">
        <v>56</v>
      </c>
      <c r="C7" s="5" t="s">
        <v>67</v>
      </c>
      <c r="D7" s="5" t="s">
        <v>68</v>
      </c>
      <c r="E7" s="17" t="s">
        <v>59</v>
      </c>
      <c r="F7" s="17" t="n">
        <v>2</v>
      </c>
      <c r="G7" s="6" t="n">
        <v>2</v>
      </c>
      <c r="H7" s="5" t="s">
        <v>55</v>
      </c>
      <c r="I7" s="5" t="s">
        <v>16</v>
      </c>
      <c r="J7" s="5"/>
      <c r="K7" s="5" t="s">
        <v>69</v>
      </c>
    </row>
    <row r="8" customFormat="false" ht="60" hidden="false" customHeight="true" outlineLevel="0" collapsed="false">
      <c r="A8" s="6" t="s">
        <v>70</v>
      </c>
      <c r="B8" s="20" t="s">
        <v>71</v>
      </c>
      <c r="C8" s="5" t="s">
        <v>72</v>
      </c>
      <c r="D8" s="5" t="s">
        <v>73</v>
      </c>
      <c r="E8" s="17" t="s">
        <v>74</v>
      </c>
      <c r="F8" s="17" t="n">
        <v>2</v>
      </c>
      <c r="G8" s="6" t="n">
        <v>1</v>
      </c>
      <c r="H8" s="5" t="s">
        <v>55</v>
      </c>
      <c r="I8" s="5" t="s">
        <v>16</v>
      </c>
      <c r="J8" s="5"/>
      <c r="K8" s="5" t="s">
        <v>75</v>
      </c>
    </row>
    <row r="9" customFormat="false" ht="60" hidden="false" customHeight="true" outlineLevel="0" collapsed="false">
      <c r="A9" s="6" t="s">
        <v>76</v>
      </c>
      <c r="B9" s="20" t="s">
        <v>71</v>
      </c>
      <c r="C9" s="5" t="s">
        <v>77</v>
      </c>
      <c r="D9" s="5" t="s">
        <v>78</v>
      </c>
      <c r="E9" s="17" t="s">
        <v>74</v>
      </c>
      <c r="F9" s="17" t="n">
        <v>2</v>
      </c>
      <c r="G9" s="6" t="n">
        <v>1</v>
      </c>
      <c r="H9" s="5" t="s">
        <v>55</v>
      </c>
      <c r="I9" s="5" t="s">
        <v>16</v>
      </c>
      <c r="J9" s="5"/>
      <c r="K9" s="18" t="s">
        <v>79</v>
      </c>
    </row>
    <row r="10" customFormat="false" ht="60" hidden="false" customHeight="true" outlineLevel="0" collapsed="false">
      <c r="A10" s="6" t="s">
        <v>80</v>
      </c>
      <c r="B10" s="20" t="s">
        <v>71</v>
      </c>
      <c r="C10" s="5" t="s">
        <v>81</v>
      </c>
      <c r="D10" s="5" t="s">
        <v>82</v>
      </c>
      <c r="E10" s="17" t="s">
        <v>74</v>
      </c>
      <c r="F10" s="17" t="n">
        <v>2</v>
      </c>
      <c r="G10" s="6" t="n">
        <v>2.5</v>
      </c>
      <c r="H10" s="5" t="s">
        <v>61</v>
      </c>
      <c r="I10" s="5" t="s">
        <v>16</v>
      </c>
      <c r="J10" s="5"/>
      <c r="K10" s="18" t="s">
        <v>83</v>
      </c>
    </row>
    <row r="11" customFormat="false" ht="60" hidden="false" customHeight="true" outlineLevel="0" collapsed="false">
      <c r="A11" s="6" t="s">
        <v>84</v>
      </c>
      <c r="B11" s="20" t="s">
        <v>71</v>
      </c>
      <c r="C11" s="5" t="s">
        <v>85</v>
      </c>
      <c r="D11" s="5" t="s">
        <v>86</v>
      </c>
      <c r="E11" s="17" t="s">
        <v>74</v>
      </c>
      <c r="F11" s="17" t="n">
        <v>2</v>
      </c>
      <c r="G11" s="6" t="n">
        <v>4</v>
      </c>
      <c r="H11" s="5" t="s">
        <v>87</v>
      </c>
      <c r="I11" s="5" t="s">
        <v>16</v>
      </c>
      <c r="J11" s="5"/>
      <c r="K11" s="5" t="s">
        <v>88</v>
      </c>
    </row>
    <row r="12" customFormat="false" ht="60" hidden="false" customHeight="true" outlineLevel="0" collapsed="false">
      <c r="A12" s="6" t="s">
        <v>89</v>
      </c>
      <c r="B12" s="20" t="s">
        <v>71</v>
      </c>
      <c r="C12" s="5" t="s">
        <v>90</v>
      </c>
      <c r="D12" s="18" t="s">
        <v>91</v>
      </c>
      <c r="E12" s="17" t="s">
        <v>74</v>
      </c>
      <c r="F12" s="17" t="n">
        <v>3</v>
      </c>
      <c r="G12" s="6" t="n">
        <v>2</v>
      </c>
      <c r="H12" s="5" t="s">
        <v>92</v>
      </c>
      <c r="I12" s="5" t="s">
        <v>16</v>
      </c>
      <c r="J12" s="5"/>
      <c r="K12" s="5" t="s">
        <v>93</v>
      </c>
    </row>
    <row r="13" customFormat="false" ht="60" hidden="false" customHeight="true" outlineLevel="0" collapsed="false">
      <c r="A13" s="6" t="s">
        <v>94</v>
      </c>
      <c r="B13" s="20" t="s">
        <v>71</v>
      </c>
      <c r="C13" s="5" t="s">
        <v>95</v>
      </c>
      <c r="D13" s="18" t="s">
        <v>96</v>
      </c>
      <c r="E13" s="17" t="s">
        <v>74</v>
      </c>
      <c r="F13" s="17" t="n">
        <v>3</v>
      </c>
      <c r="G13" s="6" t="n">
        <v>1.5</v>
      </c>
      <c r="H13" s="5" t="s">
        <v>84</v>
      </c>
      <c r="I13" s="5" t="s">
        <v>16</v>
      </c>
      <c r="J13" s="5"/>
      <c r="K13" s="18" t="s">
        <v>97</v>
      </c>
    </row>
    <row r="14" customFormat="false" ht="60" hidden="false" customHeight="true" outlineLevel="0" collapsed="false">
      <c r="A14" s="6" t="s">
        <v>98</v>
      </c>
      <c r="B14" s="21" t="s">
        <v>99</v>
      </c>
      <c r="C14" s="5" t="s">
        <v>100</v>
      </c>
      <c r="D14" s="5" t="s">
        <v>101</v>
      </c>
      <c r="E14" s="17" t="s">
        <v>74</v>
      </c>
      <c r="F14" s="17" t="n">
        <v>3</v>
      </c>
      <c r="G14" s="6" t="n">
        <v>2.5</v>
      </c>
      <c r="H14" s="5" t="s">
        <v>102</v>
      </c>
      <c r="I14" s="5" t="s">
        <v>16</v>
      </c>
      <c r="J14" s="5"/>
      <c r="K14" s="5" t="s">
        <v>103</v>
      </c>
    </row>
    <row r="15" customFormat="false" ht="60" hidden="false" customHeight="true" outlineLevel="0" collapsed="false">
      <c r="A15" s="6" t="s">
        <v>104</v>
      </c>
      <c r="B15" s="21" t="s">
        <v>99</v>
      </c>
      <c r="C15" s="5" t="s">
        <v>105</v>
      </c>
      <c r="D15" s="5" t="s">
        <v>106</v>
      </c>
      <c r="E15" s="17" t="s">
        <v>74</v>
      </c>
      <c r="F15" s="17" t="n">
        <v>3</v>
      </c>
      <c r="G15" s="6" t="n">
        <v>2</v>
      </c>
      <c r="H15" s="5" t="s">
        <v>107</v>
      </c>
      <c r="I15" s="5" t="s">
        <v>16</v>
      </c>
      <c r="J15" s="5"/>
      <c r="K15" s="5" t="s">
        <v>108</v>
      </c>
    </row>
    <row r="16" customFormat="false" ht="60" hidden="false" customHeight="true" outlineLevel="0" collapsed="false">
      <c r="A16" s="6" t="s">
        <v>109</v>
      </c>
      <c r="B16" s="21" t="s">
        <v>99</v>
      </c>
      <c r="C16" s="18" t="s">
        <v>110</v>
      </c>
      <c r="D16" s="18" t="s">
        <v>111</v>
      </c>
      <c r="E16" s="17" t="s">
        <v>74</v>
      </c>
      <c r="F16" s="17" t="n">
        <v>3</v>
      </c>
      <c r="G16" s="6" t="n">
        <v>1.5</v>
      </c>
      <c r="H16" s="5" t="s">
        <v>112</v>
      </c>
      <c r="I16" s="5" t="s">
        <v>16</v>
      </c>
      <c r="J16" s="5"/>
      <c r="K16" s="18" t="s">
        <v>113</v>
      </c>
    </row>
    <row r="17" customFormat="false" ht="60" hidden="false" customHeight="true" outlineLevel="0" collapsed="false">
      <c r="A17" s="6" t="s">
        <v>114</v>
      </c>
      <c r="B17" s="22" t="s">
        <v>115</v>
      </c>
      <c r="C17" s="5" t="s">
        <v>116</v>
      </c>
      <c r="D17" s="5" t="s">
        <v>117</v>
      </c>
      <c r="E17" s="17" t="s">
        <v>118</v>
      </c>
      <c r="F17" s="17" t="n">
        <v>2</v>
      </c>
      <c r="G17" s="6" t="n">
        <v>1.5</v>
      </c>
      <c r="H17" s="5" t="s">
        <v>46</v>
      </c>
      <c r="I17" s="5" t="s">
        <v>16</v>
      </c>
      <c r="J17" s="5"/>
      <c r="K17" s="5" t="s">
        <v>119</v>
      </c>
    </row>
    <row r="18" customFormat="false" ht="60" hidden="false" customHeight="true" outlineLevel="0" collapsed="false">
      <c r="A18" s="6" t="s">
        <v>120</v>
      </c>
      <c r="B18" s="22" t="s">
        <v>115</v>
      </c>
      <c r="C18" s="18" t="s">
        <v>121</v>
      </c>
      <c r="D18" s="18" t="s">
        <v>122</v>
      </c>
      <c r="E18" s="17" t="s">
        <v>118</v>
      </c>
      <c r="F18" s="17" t="n">
        <v>2</v>
      </c>
      <c r="G18" s="6" t="n">
        <v>2.5</v>
      </c>
      <c r="H18" s="5" t="s">
        <v>123</v>
      </c>
      <c r="I18" s="5" t="s">
        <v>16</v>
      </c>
      <c r="J18" s="5"/>
      <c r="K18" s="18" t="s">
        <v>124</v>
      </c>
    </row>
    <row r="19" customFormat="false" ht="60" hidden="false" customHeight="true" outlineLevel="0" collapsed="false">
      <c r="A19" s="6" t="s">
        <v>125</v>
      </c>
      <c r="B19" s="22" t="s">
        <v>115</v>
      </c>
      <c r="C19" s="5" t="s">
        <v>126</v>
      </c>
      <c r="D19" s="5" t="s">
        <v>127</v>
      </c>
      <c r="E19" s="17" t="s">
        <v>118</v>
      </c>
      <c r="F19" s="17" t="n">
        <v>3</v>
      </c>
      <c r="G19" s="6" t="n">
        <v>3</v>
      </c>
      <c r="H19" s="5" t="s">
        <v>120</v>
      </c>
      <c r="I19" s="5" t="s">
        <v>16</v>
      </c>
      <c r="J19" s="5"/>
      <c r="K19" s="5" t="s">
        <v>128</v>
      </c>
    </row>
    <row r="20" customFormat="false" ht="60" hidden="false" customHeight="true" outlineLevel="0" collapsed="false">
      <c r="A20" s="6" t="s">
        <v>129</v>
      </c>
      <c r="B20" s="22" t="s">
        <v>115</v>
      </c>
      <c r="C20" s="18" t="s">
        <v>130</v>
      </c>
      <c r="D20" s="5" t="s">
        <v>131</v>
      </c>
      <c r="E20" s="17" t="s">
        <v>118</v>
      </c>
      <c r="F20" s="17" t="n">
        <v>3</v>
      </c>
      <c r="G20" s="6" t="n">
        <v>2</v>
      </c>
      <c r="H20" s="5" t="s">
        <v>125</v>
      </c>
      <c r="I20" s="5" t="s">
        <v>16</v>
      </c>
      <c r="J20" s="5"/>
      <c r="K20" s="18" t="s">
        <v>132</v>
      </c>
    </row>
    <row r="21" customFormat="false" ht="60" hidden="false" customHeight="true" outlineLevel="0" collapsed="false">
      <c r="A21" s="6" t="s">
        <v>133</v>
      </c>
      <c r="B21" s="22" t="s">
        <v>115</v>
      </c>
      <c r="C21" s="18" t="s">
        <v>134</v>
      </c>
      <c r="D21" s="18" t="s">
        <v>135</v>
      </c>
      <c r="E21" s="17" t="s">
        <v>118</v>
      </c>
      <c r="F21" s="17" t="n">
        <v>3</v>
      </c>
      <c r="G21" s="6" t="n">
        <v>2</v>
      </c>
      <c r="H21" s="5" t="s">
        <v>136</v>
      </c>
      <c r="I21" s="5" t="s">
        <v>16</v>
      </c>
      <c r="J21" s="5"/>
      <c r="K21" s="18" t="s">
        <v>137</v>
      </c>
    </row>
    <row r="22" customFormat="false" ht="60" hidden="false" customHeight="true" outlineLevel="0" collapsed="false">
      <c r="A22" s="6" t="s">
        <v>138</v>
      </c>
      <c r="B22" s="23" t="s">
        <v>139</v>
      </c>
      <c r="C22" s="18" t="s">
        <v>140</v>
      </c>
      <c r="D22" s="5" t="s">
        <v>141</v>
      </c>
      <c r="E22" s="17" t="s">
        <v>118</v>
      </c>
      <c r="F22" s="17" t="n">
        <v>3</v>
      </c>
      <c r="G22" s="6" t="n">
        <v>2</v>
      </c>
      <c r="H22" s="5" t="s">
        <v>129</v>
      </c>
      <c r="I22" s="5" t="s">
        <v>16</v>
      </c>
      <c r="J22" s="5"/>
      <c r="K22" s="5" t="s">
        <v>142</v>
      </c>
    </row>
    <row r="23" customFormat="false" ht="60" hidden="false" customHeight="true" outlineLevel="0" collapsed="false">
      <c r="A23" s="6" t="s">
        <v>143</v>
      </c>
      <c r="B23" s="23" t="s">
        <v>139</v>
      </c>
      <c r="C23" s="18" t="s">
        <v>144</v>
      </c>
      <c r="D23" s="5" t="s">
        <v>145</v>
      </c>
      <c r="E23" s="17" t="s">
        <v>118</v>
      </c>
      <c r="F23" s="17" t="n">
        <v>3</v>
      </c>
      <c r="G23" s="6" t="n">
        <v>2.5</v>
      </c>
      <c r="H23" s="5" t="s">
        <v>146</v>
      </c>
      <c r="I23" s="5" t="s">
        <v>16</v>
      </c>
      <c r="J23" s="5"/>
      <c r="K23" s="5" t="s">
        <v>147</v>
      </c>
    </row>
    <row r="24" customFormat="false" ht="60" hidden="false" customHeight="true" outlineLevel="0" collapsed="false">
      <c r="A24" s="6" t="s">
        <v>148</v>
      </c>
      <c r="B24" s="23" t="s">
        <v>139</v>
      </c>
      <c r="C24" s="18" t="s">
        <v>149</v>
      </c>
      <c r="D24" s="18" t="s">
        <v>150</v>
      </c>
      <c r="E24" s="17" t="s">
        <v>118</v>
      </c>
      <c r="F24" s="17" t="n">
        <v>3</v>
      </c>
      <c r="G24" s="6" t="n">
        <v>2</v>
      </c>
      <c r="H24" s="5" t="s">
        <v>151</v>
      </c>
      <c r="I24" s="5" t="s">
        <v>16</v>
      </c>
      <c r="J24" s="5"/>
      <c r="K24" s="18" t="s">
        <v>152</v>
      </c>
    </row>
    <row r="25" customFormat="false" ht="60" hidden="false" customHeight="true" outlineLevel="0" collapsed="false">
      <c r="A25" s="6" t="s">
        <v>153</v>
      </c>
      <c r="B25" s="24" t="s">
        <v>154</v>
      </c>
      <c r="C25" s="18" t="s">
        <v>155</v>
      </c>
      <c r="D25" s="5" t="s">
        <v>156</v>
      </c>
      <c r="E25" s="17" t="s">
        <v>11</v>
      </c>
      <c r="F25" s="17" t="n">
        <v>4</v>
      </c>
      <c r="G25" s="6" t="n">
        <v>3</v>
      </c>
      <c r="H25" s="5" t="s">
        <v>157</v>
      </c>
      <c r="I25" s="5" t="s">
        <v>16</v>
      </c>
      <c r="J25" s="5"/>
      <c r="K25" s="5" t="s">
        <v>158</v>
      </c>
    </row>
    <row r="26" customFormat="false" ht="60" hidden="false" customHeight="true" outlineLevel="0" collapsed="false">
      <c r="A26" s="6" t="s">
        <v>159</v>
      </c>
      <c r="B26" s="24" t="s">
        <v>154</v>
      </c>
      <c r="C26" s="18" t="s">
        <v>160</v>
      </c>
      <c r="D26" s="18" t="s">
        <v>161</v>
      </c>
      <c r="E26" s="17" t="s">
        <v>11</v>
      </c>
      <c r="F26" s="17" t="n">
        <v>4</v>
      </c>
      <c r="G26" s="6" t="n">
        <v>3</v>
      </c>
      <c r="H26" s="5" t="s">
        <v>153</v>
      </c>
      <c r="I26" s="5" t="s">
        <v>16</v>
      </c>
      <c r="J26" s="5"/>
      <c r="K26" s="18" t="s">
        <v>162</v>
      </c>
    </row>
    <row r="27" customFormat="false" ht="60" hidden="false" customHeight="true" outlineLevel="0" collapsed="false">
      <c r="A27" s="6" t="s">
        <v>163</v>
      </c>
      <c r="B27" s="24" t="s">
        <v>154</v>
      </c>
      <c r="C27" s="18" t="s">
        <v>164</v>
      </c>
      <c r="D27" s="5" t="s">
        <v>165</v>
      </c>
      <c r="E27" s="17" t="s">
        <v>11</v>
      </c>
      <c r="F27" s="17" t="n">
        <v>4</v>
      </c>
      <c r="G27" s="6" t="n">
        <v>1.5</v>
      </c>
      <c r="H27" s="5" t="s">
        <v>153</v>
      </c>
      <c r="I27" s="5" t="s">
        <v>16</v>
      </c>
      <c r="J27" s="5"/>
      <c r="K27" s="5" t="s">
        <v>166</v>
      </c>
    </row>
    <row r="28" customFormat="false" ht="60" hidden="false" customHeight="true" outlineLevel="0" collapsed="false">
      <c r="A28" s="6" t="s">
        <v>167</v>
      </c>
      <c r="B28" s="24" t="s">
        <v>154</v>
      </c>
      <c r="C28" s="18" t="s">
        <v>168</v>
      </c>
      <c r="D28" s="18" t="s">
        <v>169</v>
      </c>
      <c r="E28" s="17" t="s">
        <v>11</v>
      </c>
      <c r="F28" s="17" t="n">
        <v>4</v>
      </c>
      <c r="G28" s="6" t="n">
        <v>2</v>
      </c>
      <c r="H28" s="5" t="s">
        <v>153</v>
      </c>
      <c r="I28" s="5" t="s">
        <v>16</v>
      </c>
      <c r="J28" s="5"/>
      <c r="K28" s="18" t="s">
        <v>170</v>
      </c>
    </row>
    <row r="29" customFormat="false" ht="60" hidden="false" customHeight="true" outlineLevel="0" collapsed="false">
      <c r="A29" s="6" t="s">
        <v>171</v>
      </c>
      <c r="B29" s="24" t="s">
        <v>154</v>
      </c>
      <c r="C29" s="5" t="s">
        <v>172</v>
      </c>
      <c r="D29" s="5" t="s">
        <v>173</v>
      </c>
      <c r="E29" s="17" t="s">
        <v>44</v>
      </c>
      <c r="F29" s="17" t="n">
        <v>4</v>
      </c>
      <c r="G29" s="6" t="n">
        <v>2</v>
      </c>
      <c r="H29" s="5" t="s">
        <v>159</v>
      </c>
      <c r="I29" s="5" t="s">
        <v>16</v>
      </c>
      <c r="J29" s="5"/>
      <c r="K29" s="5" t="s">
        <v>174</v>
      </c>
    </row>
    <row r="30" customFormat="false" ht="60" hidden="false" customHeight="true" outlineLevel="0" collapsed="false">
      <c r="A30" s="6" t="s">
        <v>175</v>
      </c>
      <c r="B30" s="24" t="s">
        <v>154</v>
      </c>
      <c r="C30" s="5" t="s">
        <v>176</v>
      </c>
      <c r="D30" s="18" t="s">
        <v>177</v>
      </c>
      <c r="E30" s="17" t="s">
        <v>59</v>
      </c>
      <c r="F30" s="17" t="n">
        <v>4</v>
      </c>
      <c r="G30" s="6" t="n">
        <v>2</v>
      </c>
      <c r="H30" s="5" t="s">
        <v>171</v>
      </c>
      <c r="I30" s="5" t="s">
        <v>16</v>
      </c>
      <c r="J30" s="5"/>
      <c r="K30" s="18" t="s">
        <v>178</v>
      </c>
    </row>
    <row r="31" customFormat="false" ht="15" hidden="false" customHeight="false" outlineLevel="0" collapsed="false">
      <c r="A31" s="25" t="s">
        <v>14</v>
      </c>
      <c r="B31" s="26"/>
      <c r="C31" s="26"/>
      <c r="D31" s="26"/>
      <c r="E31" s="26"/>
      <c r="F31" s="27" t="s">
        <v>179</v>
      </c>
      <c r="G31" s="8" t="n">
        <f aca="false">SUM(G2:G30)</f>
        <v>60.5</v>
      </c>
      <c r="H31" s="26"/>
      <c r="I31" s="26"/>
      <c r="J31" s="26"/>
      <c r="K31" s="26"/>
    </row>
  </sheetData>
  <conditionalFormatting sqref="I2:I30">
    <cfRule type="expression" priority="2" aboveAverage="0" equalAverage="0" bottom="0" percent="0" rank="0" text="" dxfId="0">
      <formula>$I2="Done"</formula>
    </cfRule>
    <cfRule type="expression" priority="3" aboveAverage="0" equalAverage="0" bottom="0" percent="0" rank="0" text="" dxfId="1">
      <formula>$I2="In Progress"</formula>
    </cfRule>
    <cfRule type="expression" priority="4" aboveAverage="0" equalAverage="0" bottom="0" percent="0" rank="0" text="" dxfId="2">
      <formula>$I2="Blocked"</formula>
    </cfRule>
  </conditionalFormatting>
  <dataValidations count="3">
    <dataValidation allowBlank="true" errorStyle="stop" operator="between" showDropDown="false" showErrorMessage="false" showInputMessage="false" sqref="I2:I30" type="list">
      <formula1>"Not Started,In Progress,Blocked,Done"</formula1>
      <formula2>0</formula2>
    </dataValidation>
    <dataValidation allowBlank="true" errorStyle="stop" operator="between" showDropDown="false" showErrorMessage="false" showInputMessage="false" sqref="E2:E30" type="list">
      <formula1>"BE,APP,INFRA,QA,DESIGN,PM"</formula1>
      <formula2>0</formula2>
    </dataValidation>
    <dataValidation allowBlank="true" errorStyle="stop" operator="between" showDropDown="false" showErrorMessage="false" showInputMessage="false" sqref="F2:F30" type="list">
      <formula1>"1,2,3,4"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</cols>
  <sheetData>
    <row r="1" customFormat="false" ht="22.05" hidden="false" customHeight="false" outlineLevel="0" collapsed="false">
      <c r="A1" s="28" t="s">
        <v>180</v>
      </c>
      <c r="B1" s="28"/>
      <c r="C1" s="28"/>
      <c r="D1" s="28"/>
      <c r="E1" s="28"/>
      <c r="F1" s="28"/>
    </row>
    <row r="3" customFormat="false" ht="17.15" hidden="false" customHeight="false" outlineLevel="0" collapsed="false">
      <c r="A3" s="14" t="s">
        <v>30</v>
      </c>
      <c r="B3" s="14" t="s">
        <v>181</v>
      </c>
      <c r="C3" s="14" t="s">
        <v>182</v>
      </c>
      <c r="D3" s="14" t="s">
        <v>183</v>
      </c>
      <c r="E3" s="14" t="s">
        <v>184</v>
      </c>
      <c r="F3" s="15" t="s">
        <v>185</v>
      </c>
    </row>
    <row r="4" customFormat="false" ht="15" hidden="false" customHeight="false" outlineLevel="0" collapsed="false">
      <c r="A4" s="9" t="s">
        <v>41</v>
      </c>
      <c r="B4" s="6" t="n">
        <f aca="false">SUMIFS(WBS!G:G,WBS!B:B,"Spec/Design",WBS!F:F,1)</f>
        <v>6</v>
      </c>
      <c r="C4" s="6" t="n">
        <f aca="false">SUMIFS(WBS!G:G,WBS!B:B,"Spec/Design",WBS!F:F,2)</f>
        <v>0</v>
      </c>
      <c r="D4" s="6" t="n">
        <f aca="false">SUMIFS(WBS!G:G,WBS!B:B,"Spec/Design",WBS!F:F,3)</f>
        <v>0</v>
      </c>
      <c r="E4" s="6" t="n">
        <f aca="false">SUMIFS(WBS!G:G,WBS!B:B,"Spec/Design",WBS!F:F,4)</f>
        <v>0</v>
      </c>
      <c r="F4" s="29" t="n">
        <f aca="false">SUM(B4:E4)</f>
        <v>6</v>
      </c>
    </row>
    <row r="5" customFormat="false" ht="15" hidden="false" customHeight="false" outlineLevel="0" collapsed="false">
      <c r="A5" s="9" t="s">
        <v>56</v>
      </c>
      <c r="B5" s="6" t="n">
        <f aca="false">SUMIFS(WBS!G:G,WBS!B:B,"Infra/DB",WBS!F:F,1)</f>
        <v>3.5</v>
      </c>
      <c r="C5" s="6" t="n">
        <f aca="false">SUMIFS(WBS!G:G,WBS!B:B,"Infra/DB",WBS!F:F,2)</f>
        <v>2</v>
      </c>
      <c r="D5" s="6" t="n">
        <f aca="false">SUMIFS(WBS!G:G,WBS!B:B,"Infra/DB",WBS!F:F,3)</f>
        <v>0</v>
      </c>
      <c r="E5" s="6" t="n">
        <f aca="false">SUMIFS(WBS!G:G,WBS!B:B,"Infra/DB",WBS!F:F,4)</f>
        <v>0</v>
      </c>
      <c r="F5" s="29" t="n">
        <f aca="false">SUM(B5:E5)</f>
        <v>5.5</v>
      </c>
    </row>
    <row r="6" customFormat="false" ht="15" hidden="false" customHeight="false" outlineLevel="0" collapsed="false">
      <c r="A6" s="9" t="s">
        <v>71</v>
      </c>
      <c r="B6" s="6" t="n">
        <f aca="false">SUMIFS(WBS!G:G,WBS!B:B,"BE-Auth",WBS!F:F,1)</f>
        <v>0</v>
      </c>
      <c r="C6" s="6" t="n">
        <f aca="false">SUMIFS(WBS!G:G,WBS!B:B,"BE-Auth",WBS!F:F,2)</f>
        <v>8.5</v>
      </c>
      <c r="D6" s="6" t="n">
        <f aca="false">SUMIFS(WBS!G:G,WBS!B:B,"BE-Auth",WBS!F:F,3)</f>
        <v>3.5</v>
      </c>
      <c r="E6" s="6" t="n">
        <f aca="false">SUMIFS(WBS!G:G,WBS!B:B,"BE-Auth",WBS!F:F,4)</f>
        <v>0</v>
      </c>
      <c r="F6" s="29" t="n">
        <f aca="false">SUM(B6:E6)</f>
        <v>12</v>
      </c>
    </row>
    <row r="7" customFormat="false" ht="15" hidden="false" customHeight="false" outlineLevel="0" collapsed="false">
      <c r="A7" s="9" t="s">
        <v>99</v>
      </c>
      <c r="B7" s="6" t="n">
        <f aca="false">SUMIFS(WBS!G:G,WBS!B:B,"BE-Contacts",WBS!F:F,1)</f>
        <v>0</v>
      </c>
      <c r="C7" s="6" t="n">
        <f aca="false">SUMIFS(WBS!G:G,WBS!B:B,"BE-Contacts",WBS!F:F,2)</f>
        <v>0</v>
      </c>
      <c r="D7" s="6" t="n">
        <f aca="false">SUMIFS(WBS!G:G,WBS!B:B,"BE-Contacts",WBS!F:F,3)</f>
        <v>6</v>
      </c>
      <c r="E7" s="6" t="n">
        <f aca="false">SUMIFS(WBS!G:G,WBS!B:B,"BE-Contacts",WBS!F:F,4)</f>
        <v>0</v>
      </c>
      <c r="F7" s="29" t="n">
        <f aca="false">SUM(B7:E7)</f>
        <v>6</v>
      </c>
    </row>
    <row r="8" customFormat="false" ht="15" hidden="false" customHeight="false" outlineLevel="0" collapsed="false">
      <c r="A8" s="9" t="s">
        <v>115</v>
      </c>
      <c r="B8" s="6" t="n">
        <f aca="false">SUMIFS(WBS!G:G,WBS!B:B,"APP-Auth",WBS!F:F,1)</f>
        <v>0</v>
      </c>
      <c r="C8" s="6" t="n">
        <f aca="false">SUMIFS(WBS!G:G,WBS!B:B,"APP-Auth",WBS!F:F,2)</f>
        <v>4</v>
      </c>
      <c r="D8" s="6" t="n">
        <f aca="false">SUMIFS(WBS!G:G,WBS!B:B,"APP-Auth",WBS!F:F,3)</f>
        <v>7</v>
      </c>
      <c r="E8" s="6" t="n">
        <f aca="false">SUMIFS(WBS!G:G,WBS!B:B,"APP-Auth",WBS!F:F,4)</f>
        <v>0</v>
      </c>
      <c r="F8" s="29" t="n">
        <f aca="false">SUM(B8:E8)</f>
        <v>11</v>
      </c>
    </row>
    <row r="9" customFormat="false" ht="15" hidden="false" customHeight="false" outlineLevel="0" collapsed="false">
      <c r="A9" s="9" t="s">
        <v>139</v>
      </c>
      <c r="B9" s="6" t="n">
        <f aca="false">SUMIFS(WBS!G:G,WBS!B:B,"APP-Contacts",WBS!F:F,1)</f>
        <v>0</v>
      </c>
      <c r="C9" s="6" t="n">
        <f aca="false">SUMIFS(WBS!G:G,WBS!B:B,"APP-Contacts",WBS!F:F,2)</f>
        <v>0</v>
      </c>
      <c r="D9" s="6" t="n">
        <f aca="false">SUMIFS(WBS!G:G,WBS!B:B,"APP-Contacts",WBS!F:F,3)</f>
        <v>6.5</v>
      </c>
      <c r="E9" s="6" t="n">
        <f aca="false">SUMIFS(WBS!G:G,WBS!B:B,"APP-Contacts",WBS!F:F,4)</f>
        <v>0</v>
      </c>
      <c r="F9" s="29" t="n">
        <f aca="false">SUM(B9:E9)</f>
        <v>6.5</v>
      </c>
    </row>
    <row r="10" customFormat="false" ht="15" hidden="false" customHeight="false" outlineLevel="0" collapsed="false">
      <c r="A10" s="9" t="s">
        <v>154</v>
      </c>
      <c r="B10" s="6" t="n">
        <f aca="false">SUMIFS(WBS!G:G,WBS!B:B,"QA/Release",WBS!F:F,1)</f>
        <v>0</v>
      </c>
      <c r="C10" s="6" t="n">
        <f aca="false">SUMIFS(WBS!G:G,WBS!B:B,"QA/Release",WBS!F:F,2)</f>
        <v>0</v>
      </c>
      <c r="D10" s="6" t="n">
        <f aca="false">SUMIFS(WBS!G:G,WBS!B:B,"QA/Release",WBS!F:F,3)</f>
        <v>0</v>
      </c>
      <c r="E10" s="6" t="n">
        <f aca="false">SUMIFS(WBS!G:G,WBS!B:B,"QA/Release",WBS!F:F,4)</f>
        <v>13.5</v>
      </c>
      <c r="F10" s="29" t="n">
        <f aca="false">SUM(B10:E10)</f>
        <v>13.5</v>
      </c>
    </row>
    <row r="11" customFormat="false" ht="15" hidden="false" customHeight="false" outlineLevel="0" collapsed="false">
      <c r="A11" s="25" t="s">
        <v>186</v>
      </c>
      <c r="B11" s="8" t="n">
        <f aca="false">SUM(B4:B10)</f>
        <v>9.5</v>
      </c>
      <c r="C11" s="8" t="n">
        <f aca="false">SUM(C4:C10)</f>
        <v>14.5</v>
      </c>
      <c r="D11" s="8" t="n">
        <f aca="false">SUM(D4:D10)</f>
        <v>23</v>
      </c>
      <c r="E11" s="8" t="n">
        <f aca="false">SUM(E4:E10)</f>
        <v>13.5</v>
      </c>
      <c r="F11" s="8" t="n">
        <f aca="false">SUM(F4:F10)</f>
        <v>60.5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50"/>
  </cols>
  <sheetData>
    <row r="1" customFormat="false" ht="27.6" hidden="false" customHeight="false" outlineLevel="0" collapsed="false">
      <c r="A1" s="1" t="s">
        <v>187</v>
      </c>
      <c r="B1" s="1"/>
      <c r="C1" s="1"/>
      <c r="D1" s="1"/>
      <c r="E1" s="1"/>
    </row>
    <row r="3" customFormat="false" ht="31.5" hidden="false" customHeight="true" outlineLevel="0" collapsed="false">
      <c r="A3" s="14" t="s">
        <v>29</v>
      </c>
      <c r="B3" s="15" t="s">
        <v>188</v>
      </c>
      <c r="C3" s="15" t="s">
        <v>189</v>
      </c>
      <c r="D3" s="15" t="s">
        <v>190</v>
      </c>
      <c r="E3" s="15" t="s">
        <v>191</v>
      </c>
    </row>
    <row r="4" customFormat="false" ht="54.75" hidden="false" customHeight="true" outlineLevel="0" collapsed="false">
      <c r="A4" s="6" t="s">
        <v>192</v>
      </c>
      <c r="B4" s="5" t="s">
        <v>193</v>
      </c>
      <c r="C4" s="30" t="s">
        <v>194</v>
      </c>
      <c r="D4" s="5" t="s">
        <v>195</v>
      </c>
      <c r="E4" s="5" t="s">
        <v>196</v>
      </c>
    </row>
    <row r="5" customFormat="false" ht="54.75" hidden="false" customHeight="true" outlineLevel="0" collapsed="false">
      <c r="A5" s="6" t="s">
        <v>197</v>
      </c>
      <c r="B5" s="18" t="s">
        <v>198</v>
      </c>
      <c r="C5" s="30" t="s">
        <v>194</v>
      </c>
      <c r="D5" s="5" t="s">
        <v>199</v>
      </c>
      <c r="E5" s="5" t="s">
        <v>200</v>
      </c>
    </row>
    <row r="6" customFormat="false" ht="54.75" hidden="false" customHeight="true" outlineLevel="0" collapsed="false">
      <c r="A6" s="6" t="s">
        <v>201</v>
      </c>
      <c r="B6" s="18" t="s">
        <v>202</v>
      </c>
      <c r="C6" s="31" t="s">
        <v>203</v>
      </c>
      <c r="D6" s="5" t="s">
        <v>204</v>
      </c>
      <c r="E6" s="18" t="s">
        <v>205</v>
      </c>
    </row>
    <row r="7" customFormat="false" ht="54.75" hidden="false" customHeight="true" outlineLevel="0" collapsed="false">
      <c r="A7" s="6" t="s">
        <v>206</v>
      </c>
      <c r="B7" s="5" t="s">
        <v>207</v>
      </c>
      <c r="C7" s="32" t="s">
        <v>208</v>
      </c>
      <c r="D7" s="5" t="s">
        <v>209</v>
      </c>
      <c r="E7" s="5" t="s">
        <v>210</v>
      </c>
    </row>
    <row r="8" customFormat="false" ht="54.75" hidden="false" customHeight="true" outlineLevel="0" collapsed="false">
      <c r="A8" s="6" t="s">
        <v>211</v>
      </c>
      <c r="B8" s="5" t="s">
        <v>212</v>
      </c>
      <c r="C8" s="33" t="s">
        <v>213</v>
      </c>
      <c r="D8" s="5" t="s">
        <v>214</v>
      </c>
      <c r="E8" s="5" t="s">
        <v>215</v>
      </c>
    </row>
    <row r="9" customFormat="false" ht="54.75" hidden="false" customHeight="true" outlineLevel="0" collapsed="false">
      <c r="A9" s="6" t="s">
        <v>216</v>
      </c>
      <c r="B9" s="5" t="s">
        <v>217</v>
      </c>
      <c r="C9" s="32" t="s">
        <v>208</v>
      </c>
      <c r="D9" s="18" t="s">
        <v>218</v>
      </c>
      <c r="E9" s="18" t="s">
        <v>219</v>
      </c>
    </row>
    <row r="10" customFormat="false" ht="54.75" hidden="false" customHeight="true" outlineLevel="0" collapsed="false">
      <c r="A10" s="6" t="s">
        <v>220</v>
      </c>
      <c r="B10" s="18" t="s">
        <v>221</v>
      </c>
      <c r="C10" s="32" t="s">
        <v>208</v>
      </c>
      <c r="D10" s="18" t="s">
        <v>222</v>
      </c>
      <c r="E10" s="5" t="s">
        <v>223</v>
      </c>
    </row>
    <row r="11" customFormat="false" ht="54.75" hidden="false" customHeight="true" outlineLevel="0" collapsed="false">
      <c r="A11" s="6" t="s">
        <v>224</v>
      </c>
      <c r="B11" s="5" t="s">
        <v>225</v>
      </c>
      <c r="C11" s="34" t="s">
        <v>226</v>
      </c>
      <c r="D11" s="18" t="s">
        <v>227</v>
      </c>
      <c r="E11" s="5" t="s">
        <v>228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2026-05-15T04:36:19Z</dcterms:created>
  <dc:creator>openpyxl</dc:creator>
  <dc:description/>
  <dc:language>en-US</dc:language>
  <cp:lastModifiedBy/>
  <dcterms:modified xsi:type="dcterms:W3CDTF">2026-05-15T04:36:19Z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